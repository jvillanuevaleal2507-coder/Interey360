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cc7756de92edc38/Desktop/Zaira Palomino/PROYECTOS TERMINADOS 2026/"/>
    </mc:Choice>
  </mc:AlternateContent>
  <xr:revisionPtr revIDLastSave="972" documentId="8_{91C6B889-EFA6-4CF3-B7AC-B104B08989AF}" xr6:coauthVersionLast="47" xr6:coauthVersionMax="47" xr10:uidLastSave="{45196EE0-CBD1-40B7-9258-AFD235CD7AC4}"/>
  <bookViews>
    <workbookView xWindow="-108" yWindow="-108" windowWidth="23256" windowHeight="12456" tabRatio="868" activeTab="1" xr2:uid="{5520F1CD-19E1-43C7-B589-DF8D78249D2B}"/>
  </bookViews>
  <sheets>
    <sheet name="RESUMEN" sheetId="5" r:id="rId1"/>
    <sheet name="GASTOS TIENDA 2026" sheetId="2" r:id="rId2"/>
    <sheet name="ENERO" sheetId="1" r:id="rId3"/>
    <sheet name="FEBRERO" sheetId="3" r:id="rId4"/>
    <sheet name="MARZO" sheetId="6" r:id="rId5"/>
    <sheet name="ABRIL" sheetId="8" r:id="rId6"/>
    <sheet name="MAYO" sheetId="10" r:id="rId7"/>
    <sheet name="JUNIO" sheetId="11" r:id="rId8"/>
    <sheet name="JULIO" sheetId="13" r:id="rId9"/>
    <sheet name="GRAFICA" sheetId="9" r:id="rId10"/>
    <sheet name="MARKETING" sheetId="12" r:id="rId11"/>
  </sheets>
  <definedNames>
    <definedName name="_xlnm._FilterDatabase" localSheetId="5" hidden="1">ABRIL!$A$1:$H$153</definedName>
    <definedName name="_xlnm._FilterDatabase" localSheetId="2" hidden="1">ENERO!$A$1:$H$197</definedName>
    <definedName name="_xlnm._FilterDatabase" localSheetId="3" hidden="1">FEBRERO!$A$1:$H$187</definedName>
    <definedName name="_xlnm._FilterDatabase" localSheetId="8" hidden="1">JULIO!$A$1:$H$168</definedName>
    <definedName name="_xlnm._FilterDatabase" localSheetId="7" hidden="1">JUNIO!$A$1:$H$144</definedName>
    <definedName name="_xlnm._FilterDatabase" localSheetId="4" hidden="1">MARZO!$A$1:$H$190</definedName>
    <definedName name="_xlnm._FilterDatabase" localSheetId="6" hidden="1">MAYO!$A$1:$H$126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8" i="2" l="1"/>
  <c r="H40" i="2" s="1"/>
  <c r="G169" i="13" l="1"/>
  <c r="N30" i="5"/>
  <c r="H36" i="2"/>
  <c r="G137" i="13"/>
  <c r="G51" i="12"/>
  <c r="G44" i="12"/>
  <c r="G16" i="12"/>
  <c r="G11" i="12"/>
  <c r="G6" i="12"/>
  <c r="G145" i="11"/>
  <c r="G144" i="11"/>
  <c r="H37" i="5" l="1"/>
  <c r="G125" i="10"/>
  <c r="G61" i="10"/>
  <c r="N36" i="5"/>
  <c r="G154" i="8"/>
  <c r="G189" i="3"/>
  <c r="N29" i="5" l="1"/>
  <c r="E38" i="2"/>
  <c r="D38" i="2"/>
  <c r="D37" i="5"/>
  <c r="N35" i="5"/>
  <c r="G190" i="6"/>
  <c r="G186" i="3"/>
  <c r="N4" i="2" l="1"/>
  <c r="N45" i="2"/>
  <c r="N43" i="2"/>
  <c r="N17" i="2"/>
  <c r="N19" i="2"/>
  <c r="N26" i="2"/>
  <c r="N27" i="2"/>
  <c r="N28" i="2"/>
  <c r="N29" i="2"/>
  <c r="N30" i="2"/>
  <c r="N31" i="2"/>
  <c r="N32" i="2"/>
  <c r="N33" i="2"/>
  <c r="N34" i="2"/>
  <c r="N35" i="2"/>
  <c r="N36" i="2"/>
  <c r="N37" i="2"/>
  <c r="C38" i="2"/>
  <c r="C40" i="2" s="1"/>
  <c r="E37" i="5"/>
  <c r="F37" i="5"/>
  <c r="G37" i="5"/>
  <c r="I37" i="5"/>
  <c r="J37" i="5"/>
  <c r="K37" i="5"/>
  <c r="L37" i="5"/>
  <c r="M37" i="5"/>
  <c r="N28" i="5"/>
  <c r="N18" i="5"/>
  <c r="N7" i="5"/>
  <c r="N6" i="5"/>
  <c r="N25" i="5"/>
  <c r="N33" i="5"/>
  <c r="N27" i="5"/>
  <c r="N26" i="5"/>
  <c r="N23" i="5"/>
  <c r="N16" i="5"/>
  <c r="N19" i="5"/>
  <c r="N4" i="5"/>
  <c r="N31" i="5"/>
  <c r="N17" i="5"/>
  <c r="N12" i="5"/>
  <c r="N34" i="5"/>
  <c r="N10" i="5"/>
  <c r="N22" i="5"/>
  <c r="N14" i="5"/>
  <c r="N15" i="5"/>
  <c r="N5" i="5"/>
  <c r="N20" i="5"/>
  <c r="N21" i="5"/>
  <c r="N32" i="5"/>
  <c r="N8" i="5"/>
  <c r="N3" i="5"/>
  <c r="N9" i="5"/>
  <c r="N11" i="5"/>
  <c r="N24" i="5"/>
  <c r="N13" i="5"/>
  <c r="B37" i="5"/>
  <c r="C37" i="5"/>
  <c r="N37" i="5" l="1"/>
  <c r="N39" i="2"/>
  <c r="B38" i="2"/>
  <c r="B40" i="2" s="1"/>
  <c r="M38" i="2"/>
  <c r="M40" i="2" s="1"/>
  <c r="L38" i="2"/>
  <c r="L40" i="2" s="1"/>
  <c r="K38" i="2"/>
  <c r="K40" i="2" s="1"/>
  <c r="J38" i="2"/>
  <c r="J40" i="2" s="1"/>
  <c r="I38" i="2"/>
  <c r="I40" i="2" s="1"/>
  <c r="E40" i="2"/>
  <c r="D40" i="2"/>
  <c r="G38" i="2"/>
  <c r="N25" i="2"/>
  <c r="L18" i="2"/>
  <c r="L20" i="2" s="1"/>
  <c r="K18" i="2"/>
  <c r="K20" i="2" s="1"/>
  <c r="J18" i="2"/>
  <c r="J20" i="2" s="1"/>
  <c r="H18" i="2"/>
  <c r="H20" i="2" s="1"/>
  <c r="N16" i="2"/>
  <c r="I15" i="2"/>
  <c r="I18" i="2" s="1"/>
  <c r="I20" i="2" s="1"/>
  <c r="G15" i="2"/>
  <c r="G18" i="2" s="1"/>
  <c r="G20" i="2" s="1"/>
  <c r="F15" i="2"/>
  <c r="E15" i="2"/>
  <c r="E18" i="2" s="1"/>
  <c r="E20" i="2" s="1"/>
  <c r="D15" i="2"/>
  <c r="D18" i="2" s="1"/>
  <c r="D20" i="2" s="1"/>
  <c r="C15" i="2"/>
  <c r="C18" i="2" s="1"/>
  <c r="C20" i="2" s="1"/>
  <c r="B15" i="2"/>
  <c r="N14" i="2"/>
  <c r="N13" i="2"/>
  <c r="M12" i="2"/>
  <c r="M18" i="2" s="1"/>
  <c r="M20" i="2" s="1"/>
  <c r="F12" i="2"/>
  <c r="N11" i="2"/>
  <c r="N10" i="2"/>
  <c r="N9" i="2"/>
  <c r="N8" i="2"/>
  <c r="N7" i="2"/>
  <c r="F6" i="2"/>
  <c r="N6" i="2" s="1"/>
  <c r="O3" i="5" l="1"/>
  <c r="O30" i="5"/>
  <c r="G40" i="2"/>
  <c r="G44" i="2"/>
  <c r="N44" i="2" s="1"/>
  <c r="O4" i="5"/>
  <c r="O11" i="5"/>
  <c r="O26" i="5"/>
  <c r="O23" i="5"/>
  <c r="O28" i="5"/>
  <c r="O31" i="5"/>
  <c r="O7" i="5"/>
  <c r="O9" i="5"/>
  <c r="O33" i="5"/>
  <c r="O8" i="5"/>
  <c r="O34" i="5"/>
  <c r="O12" i="5"/>
  <c r="O18" i="5"/>
  <c r="O13" i="5"/>
  <c r="O24" i="5"/>
  <c r="O15" i="5"/>
  <c r="O5" i="5"/>
  <c r="O36" i="5"/>
  <c r="O10" i="5"/>
  <c r="O29" i="5"/>
  <c r="O16" i="5"/>
  <c r="O6" i="5"/>
  <c r="O19" i="5"/>
  <c r="O21" i="5"/>
  <c r="O32" i="5"/>
  <c r="O17" i="5"/>
  <c r="O20" i="5"/>
  <c r="O22" i="5"/>
  <c r="O14" i="5"/>
  <c r="O27" i="5"/>
  <c r="O35" i="5"/>
  <c r="O25" i="5"/>
  <c r="N15" i="2"/>
  <c r="N12" i="2"/>
  <c r="N38" i="2"/>
  <c r="F38" i="2"/>
  <c r="F40" i="2" s="1"/>
  <c r="F18" i="2"/>
  <c r="F20" i="2" s="1"/>
  <c r="B18" i="2"/>
  <c r="O37" i="5" l="1"/>
  <c r="N40" i="2"/>
  <c r="B20" i="2"/>
  <c r="N20" i="2" s="1"/>
  <c r="N18" i="2"/>
  <c r="G19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Zaira Palomino</author>
  </authors>
  <commentList>
    <comment ref="E3" authorId="0" shapeId="0" xr:uid="{B9F7F718-B7F7-4967-BBB1-CB5F922BEB10}">
      <text>
        <r>
          <rPr>
            <b/>
            <sz val="9"/>
            <color indexed="81"/>
            <rFont val="Tahoma"/>
            <family val="2"/>
          </rPr>
          <t>Zaira Palomino:</t>
        </r>
        <r>
          <rPr>
            <sz val="9"/>
            <color indexed="81"/>
            <rFont val="Tahoma"/>
            <family val="2"/>
          </rPr>
          <t xml:space="preserve">
FINIQUITO VERONICA CASTILLO</t>
        </r>
      </text>
    </comment>
    <comment ref="F3" authorId="0" shapeId="0" xr:uid="{49CCE20A-94A2-46DE-9687-3863E1135693}">
      <text>
        <r>
          <rPr>
            <b/>
            <sz val="9"/>
            <color indexed="81"/>
            <rFont val="Tahoma"/>
            <family val="2"/>
          </rPr>
          <t>Zaira Palomino:</t>
        </r>
        <r>
          <rPr>
            <sz val="9"/>
            <color indexed="81"/>
            <rFont val="Tahoma"/>
            <family val="2"/>
          </rPr>
          <t xml:space="preserve">
5 SEMANAS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zaira.palomino1423@gmail.com</author>
    <author>Zaira Palomino</author>
  </authors>
  <commentList>
    <comment ref="A9" authorId="0" shapeId="0" xr:uid="{DDAB5293-336B-4344-A786-9A5CC944DCD0}">
      <text>
        <r>
          <rPr>
            <b/>
            <sz val="9"/>
            <color indexed="81"/>
            <rFont val="Tahoma"/>
            <family val="2"/>
          </rPr>
          <t>CFE
COMAPA</t>
        </r>
      </text>
    </comment>
    <comment ref="K9" authorId="1" shapeId="0" xr:uid="{3809F3D6-B79D-432D-9349-22DEFB6C76F8}">
      <text>
        <r>
          <rPr>
            <b/>
            <sz val="9"/>
            <color indexed="81"/>
            <rFont val="Tahoma"/>
            <family val="2"/>
          </rPr>
          <t>Zaira Palomino:</t>
        </r>
        <r>
          <rPr>
            <sz val="9"/>
            <color indexed="81"/>
            <rFont val="Tahoma"/>
            <family val="2"/>
          </rPr>
          <t xml:space="preserve">
LUZ Y BASURA</t>
        </r>
      </text>
    </comment>
    <comment ref="E13" authorId="1" shapeId="0" xr:uid="{87AD2882-669B-49EB-8A5F-76187F868D5C}">
      <text>
        <r>
          <rPr>
            <b/>
            <sz val="9"/>
            <color indexed="81"/>
            <rFont val="Tahoma"/>
            <family val="2"/>
          </rPr>
          <t>Zaira Palomino:</t>
        </r>
        <r>
          <rPr>
            <sz val="9"/>
            <color indexed="81"/>
            <rFont val="Tahoma"/>
            <family val="2"/>
          </rPr>
          <t xml:space="preserve">
PRIMA DE VACACIONES SAMARA Y JAVIER</t>
        </r>
      </text>
    </comment>
    <comment ref="A30" authorId="0" shapeId="0" xr:uid="{38D2D9D5-977D-4EB9-BC76-33CD05C8CAE3}">
      <text>
        <r>
          <rPr>
            <b/>
            <sz val="9"/>
            <color indexed="81"/>
            <rFont val="Tahoma"/>
            <family val="2"/>
          </rPr>
          <t>CFE
COMAPA
BASURA</t>
        </r>
      </text>
    </comment>
  </commentList>
</comments>
</file>

<file path=xl/sharedStrings.xml><?xml version="1.0" encoding="utf-8"?>
<sst xmlns="http://schemas.openxmlformats.org/spreadsheetml/2006/main" count="7462" uniqueCount="1206">
  <si>
    <t>Fecha</t>
  </si>
  <si>
    <t>Concepto</t>
  </si>
  <si>
    <t>Pago</t>
  </si>
  <si>
    <t>Departamento</t>
  </si>
  <si>
    <t>Comentarios</t>
  </si>
  <si>
    <t>Total</t>
  </si>
  <si>
    <t>Moneda</t>
  </si>
  <si>
    <t>HERRAMIENTAS</t>
  </si>
  <si>
    <t>Tarjeta de dÃ©bito</t>
  </si>
  <si>
    <t>Una sola exhibiciÃ³n</t>
  </si>
  <si>
    <t>INTEREY</t>
  </si>
  <si>
    <t>FRE5185 TIENDAS FIX / DISCO</t>
  </si>
  <si>
    <t>MXN</t>
  </si>
  <si>
    <t>MANTENIMIENTO DE AUTO</t>
  </si>
  <si>
    <t>FSH109069 AUTOMOTORES REYNOSA / MTTO NP508</t>
  </si>
  <si>
    <t>MANTENIMIENTO DE EDIFICIO</t>
  </si>
  <si>
    <t>F8081 PLAFORAMA</t>
  </si>
  <si>
    <t>COMISIONES DESPENSA</t>
  </si>
  <si>
    <t>CL-7871241 EDENRED SEM 5</t>
  </si>
  <si>
    <t>SOFTWARE</t>
  </si>
  <si>
    <t>Transferencia electrÃ³nica de fondos</t>
  </si>
  <si>
    <t>CFDI2144  VICTOR OLAN/ CONPAQT</t>
  </si>
  <si>
    <t>MOBILIARIO Y EQUIPO</t>
  </si>
  <si>
    <t>Parcialidades</t>
  </si>
  <si>
    <t>F-67 KEVIN ALEJANDRO VAZQUEZ</t>
  </si>
  <si>
    <t>SALARIOS</t>
  </si>
  <si>
    <t>RECURSOS HUMANOS</t>
  </si>
  <si>
    <t>NOMINA 5TA SEMANA ENERO 2026</t>
  </si>
  <si>
    <t>INTEREY STORE</t>
  </si>
  <si>
    <t>PAGO DE SERVICIOS</t>
  </si>
  <si>
    <t>Efectivo</t>
  </si>
  <si>
    <t>OFICINA</t>
  </si>
  <si>
    <t>PAGO RECOLECCION DE BASURA 8 SEMANAS</t>
  </si>
  <si>
    <t>RECOLECCION DE BASURA</t>
  </si>
  <si>
    <t>COMBUSTIBLE</t>
  </si>
  <si>
    <t>A32628 AUTO SERV LOMA DORADA</t>
  </si>
  <si>
    <t>A32626 AUTO SERV LOMA DORADA</t>
  </si>
  <si>
    <t>A32625 AUTO SERV LOMA DORADA</t>
  </si>
  <si>
    <t>A32627 AUTO SERV LOMA DORADA</t>
  </si>
  <si>
    <t>GENERADOR</t>
  </si>
  <si>
    <t>COMPRESOR</t>
  </si>
  <si>
    <t>ABFA762559801 ABASTEO / MOCHILA</t>
  </si>
  <si>
    <t>ENGOMADOS</t>
  </si>
  <si>
    <t>Cheque nominativo</t>
  </si>
  <si>
    <t>ENGOMADOS 2026</t>
  </si>
  <si>
    <t>SEGUROS</t>
  </si>
  <si>
    <t>AXA SEGUROS POLIZA 97732L07</t>
  </si>
  <si>
    <t>HDI SEGUROS POLIZA 546-1802-01</t>
  </si>
  <si>
    <t>MENSUALIDAD PRIMA SEGURO DE DAÃ‘OS</t>
  </si>
  <si>
    <t>F-30384 HOME DEPOT / MOCHILA CLAUDIA</t>
  </si>
  <si>
    <t>CAFETERIA</t>
  </si>
  <si>
    <t>F-30384 HOME DEPOT /  CAFETERA</t>
  </si>
  <si>
    <t>F-58780 GARRAFONES DE AGUA BLANQUITA</t>
  </si>
  <si>
    <t>COMISIONES</t>
  </si>
  <si>
    <t>Comisiones bancarias / BBVA 5528</t>
  </si>
  <si>
    <t>PUBLICIDAD</t>
  </si>
  <si>
    <t>FACEBOOK</t>
  </si>
  <si>
    <t>AplicaciÃ³n de anticipos</t>
  </si>
  <si>
    <t>A32547 AUTO SERV LOMA DORADA</t>
  </si>
  <si>
    <t>A32548 AUTO SERV LOMA DORADA</t>
  </si>
  <si>
    <t>CAPACITACION DE RH</t>
  </si>
  <si>
    <t>Ff58349 LOS AHIJADOS / CAPACITACION ALIMINEXT</t>
  </si>
  <si>
    <t>GASTOS DE VIAJE</t>
  </si>
  <si>
    <t>FA4622956 CASETAS REA</t>
  </si>
  <si>
    <t>A32578 AUTO SERV LOMA DORADA</t>
  </si>
  <si>
    <t>7230-866956 AUTOZONE DE MEXICO</t>
  </si>
  <si>
    <t>FRE5175 TIENDAS FIX</t>
  </si>
  <si>
    <t>LAS PALMAS CODO PVC HIDRAULICO 3/4</t>
  </si>
  <si>
    <t>F12061 PLAFORAMA</t>
  </si>
  <si>
    <t>F-33 LAS PALMAS / OFICINA RH</t>
  </si>
  <si>
    <t>COMISION DE ASESOR</t>
  </si>
  <si>
    <t>PROYECTOS</t>
  </si>
  <si>
    <t>Comisiones Octubre 2025_ Javier Villanueva</t>
  </si>
  <si>
    <t>CAFETRIA</t>
  </si>
  <si>
    <t>I-2254208 CASETAS</t>
  </si>
  <si>
    <t>F-58386 LOS AHIJADOS</t>
  </si>
  <si>
    <t>F655669 STEEL MART / OFICINA</t>
  </si>
  <si>
    <t>F685670 STEEL MART / OFICINA</t>
  </si>
  <si>
    <t>F7998 PLAFORAMA</t>
  </si>
  <si>
    <t>GENERAL</t>
  </si>
  <si>
    <t>REPARACION DE LLANTA</t>
  </si>
  <si>
    <t>PEAJES</t>
  </si>
  <si>
    <t>B-78902 GRUPO COM AMAURU</t>
  </si>
  <si>
    <t>1464-3009 7-ELEVEN / AGUA</t>
  </si>
  <si>
    <t>F24 LAS PALMAS / OFICINAS RH</t>
  </si>
  <si>
    <t>A32579 AUTO SERV LOMA DORADA</t>
  </si>
  <si>
    <t>A32582 AUTO SERV LOMA DORADA</t>
  </si>
  <si>
    <t>A32580 AUTO SERV LOMA DORADA</t>
  </si>
  <si>
    <t>A32584 AUTO SERV LOMA DORADA</t>
  </si>
  <si>
    <t>EQUIPO DE PROTECCION PERSONAL</t>
  </si>
  <si>
    <t>FREY135597 VALLEY</t>
  </si>
  <si>
    <t>F685557 STEELMART / OFICINA RH</t>
  </si>
  <si>
    <t>B78859 NAUTOCA / LAVADO Y ASPIRADDO</t>
  </si>
  <si>
    <t>F7994 PLAFORAMA</t>
  </si>
  <si>
    <t>A32581 AUTO SERV LOMA DORADA</t>
  </si>
  <si>
    <t>MH12642 EMERCANCIAS KANTER /  TERMOS ANIVERSARIO</t>
  </si>
  <si>
    <t>A2593 INDEX / PROVEEDORES PLATAFORMA</t>
  </si>
  <si>
    <t>LPA2946 COMBUSTIBLES FLOHIN</t>
  </si>
  <si>
    <t>A22 ALMACENES IBARRA</t>
  </si>
  <si>
    <t>F-27 LAS PALMAS / OFICIN RH</t>
  </si>
  <si>
    <t>F-26 LAS PALMAS / OFICINA RH</t>
  </si>
  <si>
    <t>1-1546 SIPCON / CONTROL CERCO ELECTRICO</t>
  </si>
  <si>
    <t>Tarj. CrÃ©dito</t>
  </si>
  <si>
    <t>W7373 AUTO SERV LOMA DORADA</t>
  </si>
  <si>
    <t>AXA SEGUROS POLIZA 94610A10</t>
  </si>
  <si>
    <t>AXA SEGUROS POLIZA 160229291700</t>
  </si>
  <si>
    <t>Comisiones Octubre 2025_ Ramiro Lee</t>
  </si>
  <si>
    <t>Comisiones Noviembre 2025_ Alfredo Palomino</t>
  </si>
  <si>
    <t>NOMINA 4TA SEMANA DE ENERO 2026</t>
  </si>
  <si>
    <t>FA26/11363 SYSCOM</t>
  </si>
  <si>
    <t>FA26/113737 SYSCOM</t>
  </si>
  <si>
    <t>FA26/113672 SYSCOM</t>
  </si>
  <si>
    <t>CL-7858468 EDENRED/ VALES DE DESPENSA SEM 4</t>
  </si>
  <si>
    <t>PAGO DE IMPUESTOS</t>
  </si>
  <si>
    <t>ISR CAUSADO DIC 2025</t>
  </si>
  <si>
    <t>F7956 PLAFORAMA</t>
  </si>
  <si>
    <t>LPA2913 COMBUSTIBLES FLOHIN</t>
  </si>
  <si>
    <t>A32549 AUTO SERV LOMA DORADA</t>
  </si>
  <si>
    <t>FA25/113862 SYSCOM</t>
  </si>
  <si>
    <t>FA25/3070705 SYSCOM</t>
  </si>
  <si>
    <t>CASETAS VISITA  CORPORATIVO SOLES</t>
  </si>
  <si>
    <t>C-78755 NAUTICA</t>
  </si>
  <si>
    <t>FA4599714 REA / CASETAS CURSO ALUMINEXT</t>
  </si>
  <si>
    <t>I-2246104 CASETAS CURSO ALUMINEXT</t>
  </si>
  <si>
    <t>LPA2914 COMBUSTIBLES FLOHIN</t>
  </si>
  <si>
    <t>1464-3006 7 ELEVEN MEXICO / GARRAFONES DE AGUA</t>
  </si>
  <si>
    <t>F-57817 CAFE LOS AHIJADOS</t>
  </si>
  <si>
    <t>GRUPO GASOLINERO DE REYNOSA</t>
  </si>
  <si>
    <t>LPA2947 COMBUSTIBLES FLOHIN</t>
  </si>
  <si>
    <t>FREY-133575 VALLEN</t>
  </si>
  <si>
    <t>INV/2026/00118 FERRETERA LA NORMAL</t>
  </si>
  <si>
    <t>IXCRQ1106 BODEGA / GARRAFONES DE AGUA</t>
  </si>
  <si>
    <t>A-188411 UTILIDADES DIGITALES MX</t>
  </si>
  <si>
    <t>F-27551 HOME DEPOT MEXICO</t>
  </si>
  <si>
    <t>AXA SEGUROS TAHOE</t>
  </si>
  <si>
    <t>IMSS</t>
  </si>
  <si>
    <t>PAGO 6to BIMESTRE 2026</t>
  </si>
  <si>
    <t>H-03144 GABY  PASTEL DE CUMPLEAÃ‘OS</t>
  </si>
  <si>
    <t>F-6844399 STEEL MART / LODERAS</t>
  </si>
  <si>
    <t>A32520 AUTO SERV LOMA DORADA</t>
  </si>
  <si>
    <t>B-78775 NAUTICA  / LAVADO SILVERADO</t>
  </si>
  <si>
    <t>F-27552 HOME DEPOT MEXICO</t>
  </si>
  <si>
    <t>COMPRA DE 2 CAJAS PARA CABLE Y BASURA</t>
  </si>
  <si>
    <t>A32519 AUTO SERV LOMA DORADA</t>
  </si>
  <si>
    <t>A32505 AUTO SERV LOMA DORADA</t>
  </si>
  <si>
    <t>NOMINA 3ER SEMANA ENERO 2026</t>
  </si>
  <si>
    <t>NOMINA 3ER SEMANA DE ENERO 2026</t>
  </si>
  <si>
    <t>PAGO CFE LUZ TIENDA</t>
  </si>
  <si>
    <t>W7303 AUTO SERV LOMA DORADA</t>
  </si>
  <si>
    <t>CL-7852448 EDENRED/ VALES DE DESPENSA SEM 3</t>
  </si>
  <si>
    <t>TELCEL/ PAGO TELEFONO CELESTE</t>
  </si>
  <si>
    <t>F58094 BLANQUITA / GATTAFONES DE AGUA</t>
  </si>
  <si>
    <t>3% SOBRE NOMINAS DICIEMBRE 2025</t>
  </si>
  <si>
    <t>KC-0023583522 TELCEL</t>
  </si>
  <si>
    <t>MENSUALIDAD DE AUTO</t>
  </si>
  <si>
    <t>NR FINANCE MEXICO 0028</t>
  </si>
  <si>
    <t>JAR13892 CHAPA ELECTROMECANICA</t>
  </si>
  <si>
    <t>F-5230 FERRETERA LAS PALMAS</t>
  </si>
  <si>
    <t>ADEUDO IMSS 05/2025</t>
  </si>
  <si>
    <t>F-683428 STEELMART</t>
  </si>
  <si>
    <t>PAQUETERIAS</t>
  </si>
  <si>
    <t>E-100513 TEAM-MEX</t>
  </si>
  <si>
    <t>A32468 AUTO SERV LOMA DORADA</t>
  </si>
  <si>
    <t>PAPELERIA</t>
  </si>
  <si>
    <t>POSM12424280 OFFICE DEPOT / TINTA IMPRESORA RH</t>
  </si>
  <si>
    <t>JAR13881 CHAPA ELECTRONICA</t>
  </si>
  <si>
    <t>REX137098 CHAPA ELECTROMECANICA</t>
  </si>
  <si>
    <t>F-1517349 MADERERA Y FERRETERA BLANQUITA</t>
  </si>
  <si>
    <t>CC17440 FEDERICO GUERRA CORZA</t>
  </si>
  <si>
    <t>UNIFORMES</t>
  </si>
  <si>
    <t>PRY-18396 UNIFORMES TAMPICO</t>
  </si>
  <si>
    <t>ABFA511553901 CUBERPUERTA / CABLE Y MOCHILA</t>
  </si>
  <si>
    <t>P15802 FACTURACION ESPACIAL</t>
  </si>
  <si>
    <t>PASTEL DE CUMPLEAÃ‘OS - PASTELES GABY</t>
  </si>
  <si>
    <t>A32435 AUTO SERV LOMA DORADA</t>
  </si>
  <si>
    <t>A32434 AUTO SERV LOMA DORADA</t>
  </si>
  <si>
    <t>A32432 AUTO SERV LOMA DORADA</t>
  </si>
  <si>
    <t>A32431 AUTO SERV LOMA DORADA</t>
  </si>
  <si>
    <t>A32430 AUTO SERV LOMA DORADA</t>
  </si>
  <si>
    <t>A32436 AUTO SERV LOMA DORADA</t>
  </si>
  <si>
    <t>MENSAJERIA Y PAQUETERIA</t>
  </si>
  <si>
    <t>PAQUETERIA INBOX / CHEQUES UNICOM</t>
  </si>
  <si>
    <t>L2649 PINTURAS BEREL</t>
  </si>
  <si>
    <t>CC17436 FEDERICO GUERRA CORZA</t>
  </si>
  <si>
    <t>Almohadilla Y Base Para IMPRESORA</t>
  </si>
  <si>
    <t>F-7022224 MADEREREA Y FERRETERA BLANQUITA</t>
  </si>
  <si>
    <t>PASTEL JAVIER CILLANUEVA</t>
  </si>
  <si>
    <t>LPA2854 COMBUSTIBLES FLOHIN</t>
  </si>
  <si>
    <t>AUTOZONE DE MEXICO F-123305</t>
  </si>
  <si>
    <t>AUTOZONE MEXICO F-128274</t>
  </si>
  <si>
    <t>CFDI-21462 GASOL DE LLERA</t>
  </si>
  <si>
    <t>ESTACION SAN FERNANDO GULF</t>
  </si>
  <si>
    <t>NOMINA 2DA SEMANA ENERO 2026</t>
  </si>
  <si>
    <t>CL7840710 EDENRED/ VALES DE DESPENSA SEM 2</t>
  </si>
  <si>
    <t>A32413 AUTO SERV LOMA DORADA</t>
  </si>
  <si>
    <t>A32412 AUTO SERV LOMA DORADA</t>
  </si>
  <si>
    <t>PAGO STARLINK</t>
  </si>
  <si>
    <t>LPA2855 COMBUSTIBLES FLOHIN</t>
  </si>
  <si>
    <t>LPA2853 COMBUSTIBLES FLOHIN</t>
  </si>
  <si>
    <t>WJIM - 3924 ESTACION DE SERV JIMENEZ</t>
  </si>
  <si>
    <t>F-24350371 OFFICEMAX</t>
  </si>
  <si>
    <t>POM12349345 OFFICE DEPOT</t>
  </si>
  <si>
    <t>A32376 AUTO SERV LOMA DORADA</t>
  </si>
  <si>
    <t>4KHGCDI24514 HOME DEPOT / CARRETILLA</t>
  </si>
  <si>
    <t>KL-156314 MI TIEMDITA / CAJA PLASTICO</t>
  </si>
  <si>
    <t>F-123305 AUTOZON MEXICO</t>
  </si>
  <si>
    <t>F-57704 AGUA BLANQUITA / GARRAFONES</t>
  </si>
  <si>
    <t>A-32366 AUTO SERV LOMA DORADA</t>
  </si>
  <si>
    <t>A-32363 AUTO SERV LOMA DORADA</t>
  </si>
  <si>
    <t>A-32364 AUTO SERV LOMA DORADA</t>
  </si>
  <si>
    <t>A-32365 AUTO SERV LOMA DORADA</t>
  </si>
  <si>
    <t>F-27221 EDARSI</t>
  </si>
  <si>
    <t>SERVICIOS TELMEX DIC 25</t>
  </si>
  <si>
    <t>FINIQUITO ASCENCION BACILIO MARTINEZ</t>
  </si>
  <si>
    <t>GRATIFICACION TERMINACION LABORAL ASCENCION BACILIO</t>
  </si>
  <si>
    <t>VENTAS</t>
  </si>
  <si>
    <t>FINIQUITO DE DISEÃ‘O E IMPRESION DE 130 LIBRETAS</t>
  </si>
  <si>
    <t>MATERIALES USO EN GENERAL DICIEMBRE 2025</t>
  </si>
  <si>
    <t>INSUMOS DE LIMPIEZA</t>
  </si>
  <si>
    <t>ICABA872187 NUEVA WALMART</t>
  </si>
  <si>
    <t>POSM12290618 OFFICE DEPOT / SOBRES</t>
  </si>
  <si>
    <t>F-60325 SERVI BOCA</t>
  </si>
  <si>
    <t>POSM12315746 OFFICE DEPOT / PAPELERIA</t>
  </si>
  <si>
    <t>LWFQ-5861759 LIVERPOOL</t>
  </si>
  <si>
    <t>AXA SEGUROS POLIZA 16027160030</t>
  </si>
  <si>
    <t>NOMINA SEMANA 01 DE ENERO 2026</t>
  </si>
  <si>
    <t>PAGOS DE CREDITOS BANCARIOS</t>
  </si>
  <si>
    <t>PAGO No. 4 PREST. 9623785641</t>
  </si>
  <si>
    <t>PAGO No.28 PREST. 9895643482 20260102</t>
  </si>
  <si>
    <t>PAGO CREDITO BANCARIO No. 06 PREST. 9602387111</t>
  </si>
  <si>
    <t>PAGO No.06 CREDITO BANCARIO PREST. 9602391798</t>
  </si>
  <si>
    <t>CL-7834188 DESPENSA SEM 1</t>
  </si>
  <si>
    <t>INTERESES DEL PERIODO MXN</t>
  </si>
  <si>
    <t>PAGO INTERSES MONEX</t>
  </si>
  <si>
    <t>UNIFORMES TAMPICO</t>
  </si>
  <si>
    <t>A-1360112 UNICOM / TONERS</t>
  </si>
  <si>
    <t>HDI SEGUROS REF:0766804</t>
  </si>
  <si>
    <t>FCP22181263 GOOGLE CLOUD MEXICO</t>
  </si>
  <si>
    <t>Metodo</t>
  </si>
  <si>
    <t>CONCEPTO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</si>
  <si>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</si>
  <si>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</si>
  <si>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</si>
  <si>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</si>
  <si>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</si>
  <si>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</si>
  <si>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</si>
  <si>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</si>
  <si>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</si>
  <si>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</si>
  <si>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</si>
  <si>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</si>
  <si>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</t>
  </si>
  <si>
    <t>COMISIONES TERMINAL</t>
  </si>
  <si>
    <t>GENERAL-CAFETERIA</t>
  </si>
  <si>
    <t>REPARACION Y MANTENIMIENTO</t>
  </si>
  <si>
    <t>BONO 2024</t>
  </si>
  <si>
    <t>IMSS-INFONAVIT-ISN</t>
  </si>
  <si>
    <t>EVENTOS</t>
  </si>
  <si>
    <t>Total general</t>
  </si>
  <si>
    <t>GASTOS INTEREY STORE  2026</t>
  </si>
  <si>
    <t xml:space="preserve">UTILIDAD </t>
  </si>
  <si>
    <t>Por definir</t>
  </si>
  <si>
    <t>USO DE MATERIALES FEBRERO</t>
  </si>
  <si>
    <t>INFRAESTRUCTURA</t>
  </si>
  <si>
    <t>10 PRUEBAS</t>
  </si>
  <si>
    <t>NOMINA 4TA SEMANA FEBRERO 2026</t>
  </si>
  <si>
    <t>CL-7913937 EDENRED MEXICO SEM 9</t>
  </si>
  <si>
    <t>F-37420 HOME DEPOT MEXICO</t>
  </si>
  <si>
    <t>A32922 SERV LOMA DORADA</t>
  </si>
  <si>
    <t>SEGURO CONTRATISTA</t>
  </si>
  <si>
    <t>COMISIONES BANCARIAS BBVA 6537</t>
  </si>
  <si>
    <t>BOLSAS DE BASURA</t>
  </si>
  <si>
    <t>PUBLICIDAD FACEBOOK FEBRERO</t>
  </si>
  <si>
    <t>CL-7901009 EDENRED MEXICO SEM 8</t>
  </si>
  <si>
    <t>A32859 AUTO SERV LOMA DORADA</t>
  </si>
  <si>
    <t>A32876 AUTO SERV LOMA DORADA</t>
  </si>
  <si>
    <t>F37039 HOME DEPOT MEX</t>
  </si>
  <si>
    <t>INV/2026/00307FERRET LA NORMAL / CHALECO NARANJA</t>
  </si>
  <si>
    <t>F-151 FERRET LAS PALMAS</t>
  </si>
  <si>
    <t>C104724 SWITCH FUSE / OFICINA</t>
  </si>
  <si>
    <t>FREY136404 VALLE / CHALECOS</t>
  </si>
  <si>
    <t>URBAN INTERIORES</t>
  </si>
  <si>
    <t>F-881456 SAMS CLUB / EVENTO HIKVISION</t>
  </si>
  <si>
    <t>F-36163 HOME DEPOT / OFICINA RH</t>
  </si>
  <si>
    <t>ICABA882482 SAMS CLUB / MAT DE LIMPIEZA</t>
  </si>
  <si>
    <t>F-36602 HOME DEPOT /  OFICINA RH</t>
  </si>
  <si>
    <t>F-143 ANA LUISA FERRET LAS PALMAS / OFICINA RH</t>
  </si>
  <si>
    <t>KJ157645 MI TIENDA / DETERGENTE</t>
  </si>
  <si>
    <t>F-59876 GRUPO EMPRESARIAL CAYPE</t>
  </si>
  <si>
    <t>LPA3161 COMBUSTIBLES FLOHIN</t>
  </si>
  <si>
    <t>AXA SEGURO POLIZA 94610A10</t>
  </si>
  <si>
    <t>A32874 AUTO SERV LOMA DORADA</t>
  </si>
  <si>
    <t>A32877 AUTO SERV LOMA DORADA</t>
  </si>
  <si>
    <t>A32875 AUTO SERV LOMA DORADA</t>
  </si>
  <si>
    <t>A32872 AUTO SERV LOMA DORADA</t>
  </si>
  <si>
    <t>CLI58098860 OXXO GAS</t>
  </si>
  <si>
    <t>F-3216 DOÃ‘A CHAVE / CONSUMO</t>
  </si>
  <si>
    <t>382569 COMBUSTIBLES FLOHIN</t>
  </si>
  <si>
    <t>A32873 AUTO SERV LOMA DORADA</t>
  </si>
  <si>
    <t>REFACC SERNA REYNOSA</t>
  </si>
  <si>
    <t>LPQ3160 COMBUSTIBLES FLOHIN</t>
  </si>
  <si>
    <t>E-101981 TEAM-MEX / SYSCOM</t>
  </si>
  <si>
    <t>INV/2026/00272 FERRETERA LA NORMAL</t>
  </si>
  <si>
    <t>F-71430350 CASETAS CURSO ENERGIA SOLAR</t>
  </si>
  <si>
    <t>I-2276322 CASETAS CURSO ENERGIA SOLAR</t>
  </si>
  <si>
    <t>8300FOP CASETAS CURSO ENERGIA SOLAR</t>
  </si>
  <si>
    <t>8759FOP CASETAS CURSO ENERGIA SOLAR</t>
  </si>
  <si>
    <t>6986FOP CASETAS CURSO ENERGIA SOLAR</t>
  </si>
  <si>
    <t>7235FOP CASETAS CURSO ENERGIA SOLAR</t>
  </si>
  <si>
    <t>NOMINA 3ER SEMANA DE FEBRERO 2026</t>
  </si>
  <si>
    <t>CLI58026642 OXXO GAS / CURSO ENERGIA SOLAR</t>
  </si>
  <si>
    <t>A32860 AUTO SERV LOMA DORADA</t>
  </si>
  <si>
    <t>REAXB1222922 PAQUETEXPRESS / PALTALLA DAÃ‘ADA REDLEAF</t>
  </si>
  <si>
    <t>F-36259 HOME DEPOT / CORTADORA MANUAL</t>
  </si>
  <si>
    <t>A32840 AUTO SERV LOMA DORADA</t>
  </si>
  <si>
    <t>A32841 AUTO SERV LOMA DORADA</t>
  </si>
  <si>
    <t>B-79315 NAUTICA CAR WASH</t>
  </si>
  <si>
    <t>PAGO TELEFONO CELESTE</t>
  </si>
  <si>
    <t>7626FOP CONCESIONARIA AUT MT / CURSO ENERGIA SOLAR</t>
  </si>
  <si>
    <t>FA4683943 REA / CURSO ENERGIA SOLAR</t>
  </si>
  <si>
    <t>LPA3159 COMBUSTIBLES FLOHIN</t>
  </si>
  <si>
    <t>F-2449577 PETROMAX</t>
  </si>
  <si>
    <t>F-142103670 OXXO / EVENTO HIKVISION</t>
  </si>
  <si>
    <t>A32839 AUTO SERV LOMA DORADA</t>
  </si>
  <si>
    <t>RECOLECCION DE BASURA 2 SEMANAS</t>
  </si>
  <si>
    <t>FRE5563 TIENDAS FIX</t>
  </si>
  <si>
    <t>LPA3114 COMBUSTIBLES FLOHIN</t>
  </si>
  <si>
    <t>Arnes Seguridad Anillo D Espalda</t>
  </si>
  <si>
    <t>F-31260 HOME DEPOT MEXICO</t>
  </si>
  <si>
    <t>F-7024494 MADERERA Y FERRE BLANQUITA / OFICINA RH</t>
  </si>
  <si>
    <t>LPA3115 COMBUSTIBLES FLOHIN</t>
  </si>
  <si>
    <t>PAGO ISR / IMPUESTOS ENERO 2026</t>
  </si>
  <si>
    <t>PW1084497 ALMACENES IBARRA / EVENTO DAHUA</t>
  </si>
  <si>
    <t>NR FINANCE Contrato. 3483142000111</t>
  </si>
  <si>
    <t>B154286519 VUELOS / EXPO SYSCOM</t>
  </si>
  <si>
    <t>A1941693 ESCALERA DE TIJERA / USO TIENDA</t>
  </si>
  <si>
    <t>A2754 EXPO INDEX REYNOSA</t>
  </si>
  <si>
    <t>CONSUMO CARLS JR  / CURSO ENERGIA SOLAR</t>
  </si>
  <si>
    <t>SIH11842 STAY INN HOTELS / CERTIFICACION DAHUA</t>
  </si>
  <si>
    <t>F458002 CITY CLUB / EVENTO DAHUA</t>
  </si>
  <si>
    <t>ALMUERZO HIKVISION</t>
  </si>
  <si>
    <t>KC-0023685379 TELCEL</t>
  </si>
  <si>
    <t>A32813 AUTO SERV LOMA DORADA</t>
  </si>
  <si>
    <t>A32806 AUTO SERV LOMA DORADA</t>
  </si>
  <si>
    <t>F-59487 GRUPO EMPRESARIAL CAYPE / GARRAFONES</t>
  </si>
  <si>
    <t>F34856 LOS FAROLITOS / CURSO ENERGIA SOLAR</t>
  </si>
  <si>
    <t>TR1004 COSTEÃ‘ITO TORREON / CURSO ENERGIA SOLAR</t>
  </si>
  <si>
    <t>COMISIONES BANCARIAS BBVA DLS</t>
  </si>
  <si>
    <t>GABBT-31933 PETROMAX</t>
  </si>
  <si>
    <t>A32799 AUTO SERV LOMA DORADA</t>
  </si>
  <si>
    <t>CA-102780 GASOL LOMA COLORADA</t>
  </si>
  <si>
    <t>PAGO IMSS ENERO 2026</t>
  </si>
  <si>
    <t>F-979528 PETROMAX</t>
  </si>
  <si>
    <t>R811004 TRANSPORTES Y ENVIO ESTRELLA / FLETE ESCALERA</t>
  </si>
  <si>
    <t>F-33629 CAJAS PARA ARCHIVO / HOME DEPOT MEXICO</t>
  </si>
  <si>
    <t>FA4683932 REA / CURSO DE ENERGIA SOLAR</t>
  </si>
  <si>
    <t>7786FOP CONCESIONARIA AUT MTY / CURSO ENERGIA SOLAR</t>
  </si>
  <si>
    <t>T82853 HOTEL POSADA DEL RIO / CURSO ENERGIA SOLAR</t>
  </si>
  <si>
    <t>A4319 SUSPIROS / PASTEL DE CUMPLEAÃ‘OS</t>
  </si>
  <si>
    <t>A-1376035 UNICOM</t>
  </si>
  <si>
    <t>FA4657699 RED DE AUTOPISTAS DE NL / VIATICOS</t>
  </si>
  <si>
    <t>A32754AUTO SERV LOMA DORADA</t>
  </si>
  <si>
    <t>NOMINA 2DA SEMANA DE FEBRERO 2026</t>
  </si>
  <si>
    <t>NOMINA 2DA SEMANA FEBRERO 2026</t>
  </si>
  <si>
    <t>B19315 OFFICE PRO</t>
  </si>
  <si>
    <t>F-8317 PLAFORAMA / OFICINA RH</t>
  </si>
  <si>
    <t>F-8318 PLAFORAMA / OFICINA RH</t>
  </si>
  <si>
    <t>CL-7893471 EDENRED MEXICO SEM 7</t>
  </si>
  <si>
    <t>SEGURO DE DA;OS RECIBO NO. * 00536189284</t>
  </si>
  <si>
    <t>ISN 3%</t>
  </si>
  <si>
    <t>PAGO 3% S/ NOMINAS ENERO 2026</t>
  </si>
  <si>
    <t>GRANITOS Y MARMOL / 150 PZAS ADOVON</t>
  </si>
  <si>
    <t>CANTERAS MEXICO</t>
  </si>
  <si>
    <t>Comisiones Interey Store 2025 JAVIER VILLANUEVA</t>
  </si>
  <si>
    <t>C-5627 SUBWAY / EVENTO DAHUA</t>
  </si>
  <si>
    <t>F-918787 OXXO / EVENTO DAHUA</t>
  </si>
  <si>
    <t>A-1937522 FFERRETERA CENTENARIO</t>
  </si>
  <si>
    <t>F-1876479 PETROMAX</t>
  </si>
  <si>
    <t>F59206 CAFE LOS AHIJADOS</t>
  </si>
  <si>
    <t>AXA SEGUROS P-160242849800 FRONTIER IRY-506</t>
  </si>
  <si>
    <t>F59233 BLANQUITA / EVENTO DAHUA</t>
  </si>
  <si>
    <t>IXCRQ11156 AURRERA / EVENTO DAHUA</t>
  </si>
  <si>
    <t>ICABA879865 SAMS CLUB / EVENTO DAHUA</t>
  </si>
  <si>
    <t>F23670 FACTURACION ESPACIAL</t>
  </si>
  <si>
    <t>B-79163 NAUTICA CAR WASH</t>
  </si>
  <si>
    <t>ALMUERZO DAHUA</t>
  </si>
  <si>
    <t>I-2266177 FONDO NACIONAL DE INFRA / VIATICOS</t>
  </si>
  <si>
    <t>A32741 AUTO SERV LOMA DORADA</t>
  </si>
  <si>
    <t>A32743 AUTO SERV LOMA DORADA</t>
  </si>
  <si>
    <t>H-03194 PASTELES GABY / CUMPLEAÃ‘OS EMPLEADO</t>
  </si>
  <si>
    <t>A32742 AUTO SERV LOMA DORADA</t>
  </si>
  <si>
    <t>A32753 AUTO SERV LOMA DORADA</t>
  </si>
  <si>
    <t>JSW190 COMSA COMBUSTIBLES MEXICANOS</t>
  </si>
  <si>
    <t>LICENCIA  ANUAL CAP-CUT MARKETING</t>
  </si>
  <si>
    <t>FSH109192 NISSAN / MTTO NP300 #507</t>
  </si>
  <si>
    <t>A32721 AUTO SERV LOMA DORADA|</t>
  </si>
  <si>
    <t>F-33115 HOME DEPOT MEXICO</t>
  </si>
  <si>
    <t>F-33117 HOME DEPOT MEXICO</t>
  </si>
  <si>
    <t>LPA3063 COMBUSTIBLES FLOHIN</t>
  </si>
  <si>
    <t>F6004031 STARLINK</t>
  </si>
  <si>
    <t>NOMINA 1ER SEMANA FEBRERO 2026</t>
  </si>
  <si>
    <t>Comisiones Octubre 2025_ Ramiro Lee (FINIQUITO)</t>
  </si>
  <si>
    <t>E-101372  TEAM-MEX / GARANTIA SYSCOM</t>
  </si>
  <si>
    <t>CL-7883766 EDENRED MEXICO SEM 6</t>
  </si>
  <si>
    <t>FREY135887 VALLEN / BOTAS DE SEG</t>
  </si>
  <si>
    <t>F-32102 HOME DEPOT MEXICO / VENTILADOR DE PISO</t>
  </si>
  <si>
    <t>A32730 AUTO SERV LOMA DORADA</t>
  </si>
  <si>
    <t>A32726 AUTO SERV LOMA DORADA</t>
  </si>
  <si>
    <t>LPA3064 COMBUSTIBLES FLOHIN</t>
  </si>
  <si>
    <t>F-81666986 OFFICE DEPOT DE MEXICO</t>
  </si>
  <si>
    <t>INV/2026/00213 FERRETERA LA NORMAL</t>
  </si>
  <si>
    <t>COMISIONES BANCARIAS FEB 2026</t>
  </si>
  <si>
    <t>F-32096 HOME DEPOT MEXICO / SILLA PEGABLE</t>
  </si>
  <si>
    <t>A32694 AUTO SERV LOMA DORADA</t>
  </si>
  <si>
    <t>NABKW4391 ESTACION ARLO</t>
  </si>
  <si>
    <t>F-91 FERRETERA LAS PALMAS / LIJAS</t>
  </si>
  <si>
    <t>ICABA87631 SAMS CLUB / ART LIMPIEZA</t>
  </si>
  <si>
    <t>ICABA879628 SAMS CLUB / SEÃ‘AL PISO</t>
  </si>
  <si>
    <t>VICTORIANO ZAPATA  / CAJA DE PAPEL</t>
  </si>
  <si>
    <t>F61 IMPRESOS GRAFICOS / VINIL TIENDA</t>
  </si>
  <si>
    <t>F-32097 HOME DEPOT MEXICO / JUEGO DE LLAVES</t>
  </si>
  <si>
    <t>SILLA DE MAYRA</t>
  </si>
  <si>
    <t>AXA SEGUROS POLIZA 160271600300</t>
  </si>
  <si>
    <t>A32693 AUTO SERV LOMA DORADA</t>
  </si>
  <si>
    <t>KJ157154 MI TIENDITA / TRAPEADOR</t>
  </si>
  <si>
    <t>F105 FERRETERA LAS PALMAS / NAVAJA Y BROCHAS</t>
  </si>
  <si>
    <t>F-920254 PETROMAX</t>
  </si>
  <si>
    <t>F-59609 ABASTECERORA DE MERCERIA</t>
  </si>
  <si>
    <t>F889800 WALDOS / AWESOME CLEANER</t>
  </si>
  <si>
    <t>TELMEX SERV ENERO 2026</t>
  </si>
  <si>
    <t>F28236729 REFACCIONARIA TREVIÃ‘O</t>
  </si>
  <si>
    <t>PAGO No. 5 Contrato 9623785641</t>
  </si>
  <si>
    <t>PAGO No.29 PREST. 9895643482</t>
  </si>
  <si>
    <t>PAGO No. 7 PREST. 9602387111</t>
  </si>
  <si>
    <t>PAGO No. 7 PREST. 9602391798</t>
  </si>
  <si>
    <t>MX5455880 ULINE PHIPPING / BOLSAS</t>
  </si>
  <si>
    <t>B-79015 NAUTICA CAR WASH</t>
  </si>
  <si>
    <t>LAVADO CARROS</t>
  </si>
  <si>
    <t>INTERESES DEL PERIODO</t>
  </si>
  <si>
    <t>MENSUALIDAD FEBRERO GOOGLE CL</t>
  </si>
  <si>
    <t>INTERESES MONEX FEB 26</t>
  </si>
  <si>
    <t>GASTOS INTEREY STORE  2025</t>
  </si>
  <si>
    <t>GASTOS OPERATIVOS  INTEREY 2026</t>
  </si>
  <si>
    <t>A 33234 AUTO SERV LOMA DORADA</t>
  </si>
  <si>
    <t>A33215 AUTO SERV LOMA DORADA</t>
  </si>
  <si>
    <t>A33216 AUTO SERV LOMA DORADA</t>
  </si>
  <si>
    <t>A33217 AUTO SERV LOMA DORADA</t>
  </si>
  <si>
    <t>FSH1110203 NISSAN / MTTO FRONTIER 2023</t>
  </si>
  <si>
    <t>BBVA Prima de seguro DaÃ±os 1/12</t>
  </si>
  <si>
    <t>RECOLECCION DE BASURA 4 SEMANAS</t>
  </si>
  <si>
    <t>USO DE MATERIALES INTERNOS MARZO</t>
  </si>
  <si>
    <t>PAGO No. 8 PREST. 960238711</t>
  </si>
  <si>
    <t>ACTIVO FIJO</t>
  </si>
  <si>
    <t>B-79985 NAUTICA CAR WASH</t>
  </si>
  <si>
    <t>Comisiones bancarias BBVA 5528</t>
  </si>
  <si>
    <t>Comisiones bancarias BBVA 6537</t>
  </si>
  <si>
    <t>Comisiones bancarias BBVA DLS</t>
  </si>
  <si>
    <t>F-61421 AGIA BLANQUITA</t>
  </si>
  <si>
    <t>COM. ANUAL POR ADMINISTRACION</t>
  </si>
  <si>
    <t>ANTICIPO 50 GORRAS</t>
  </si>
  <si>
    <t>A33203 AUTO SERV LOMA DORADA</t>
  </si>
  <si>
    <t>A33202 AUTO SERV LOMA DORADA</t>
  </si>
  <si>
    <t>A33201 AUTO SERV LOMA DORADA</t>
  </si>
  <si>
    <t>NOMINA 4TA SEMANA DE MARZO 2026</t>
  </si>
  <si>
    <t>F1652 MACKDIEL BONILLA / FABRICACIONN A DE ANUNCIO</t>
  </si>
  <si>
    <t>CL-7953942 EDENRED SEM 13</t>
  </si>
  <si>
    <t>LA FRANELA LOCA - LAVADO VERSA</t>
  </si>
  <si>
    <t>REYH12320 PAQUETERIA INBOX</t>
  </si>
  <si>
    <t>F1684 Axis Mty / Claudia Ibarra</t>
  </si>
  <si>
    <t>KC-0023759337 TELCEL</t>
  </si>
  <si>
    <t>B19487 OFFICE PRO</t>
  </si>
  <si>
    <t>F257 FERR LA PALMAS</t>
  </si>
  <si>
    <t>A33172 AUTO SERV LOMA DORADA</t>
  </si>
  <si>
    <t>FA26/486295 SYSCOM</t>
  </si>
  <si>
    <t>F1642 PRO INTEGRAL</t>
  </si>
  <si>
    <t>A1393485 UNICOM</t>
  </si>
  <si>
    <t>REYH12326 PAQUETERIA INBOX</t>
  </si>
  <si>
    <t>A33154 AUTO SERV LOMA DORADA</t>
  </si>
  <si>
    <t>A33153 AUTO SERV LOMA DORADA</t>
  </si>
  <si>
    <t>A33152 AUTO SERV LOMA DORADA</t>
  </si>
  <si>
    <t>AXA SEGURO POLIZA 16022929170</t>
  </si>
  <si>
    <t>AXA SEGURO POLIZA 94610A11</t>
  </si>
  <si>
    <t>FAC1666 BORDADOS JONES</t>
  </si>
  <si>
    <t>TELEFONO CELESTE</t>
  </si>
  <si>
    <t>F76410 PETROMAX CLAUDIA IBARRA - AXIS MTY</t>
  </si>
  <si>
    <t>F-42775 HOME DEPOT MEXICO</t>
  </si>
  <si>
    <t>F-1930201 PETROMAX</t>
  </si>
  <si>
    <t>FCP23253830 GOOGLE</t>
  </si>
  <si>
    <t>DNG6612 FARMACIA GUADALAJARA - PILAS ETIQUETADOR</t>
  </si>
  <si>
    <t>NOMINA 3RA SEMANA DE MARZO 2026</t>
  </si>
  <si>
    <t>NOMINA 3ERA SEMANA MARZO 2026</t>
  </si>
  <si>
    <t>I-23046029 CapacitaciÃ³n Axis Mty / Claudia Ibarra</t>
  </si>
  <si>
    <t>FA4752241 CapacitaciÃ³n Axis Mty / Claudia Ibarra</t>
  </si>
  <si>
    <t>A43888 SUSOIROS PASTELERIA</t>
  </si>
  <si>
    <t>F-11269 BODEGA AURRERA - AGUA</t>
  </si>
  <si>
    <t>B19471B OFFICE PRO - IMPRESIONES</t>
  </si>
  <si>
    <t>F42773 HOME DEPOT MEX</t>
  </si>
  <si>
    <t>A33137 AUTO SERV LOMA DORADA</t>
  </si>
  <si>
    <t>F21050 PEDRO JOSE TRUJILLO</t>
  </si>
  <si>
    <t>A39024, A39145, A39186 JUMAR</t>
  </si>
  <si>
    <t>A33138 AUTO SERV LOMA DORADA</t>
  </si>
  <si>
    <t>F-855582 PETROMAX</t>
  </si>
  <si>
    <t>CL-7493754 DENRED SEM 12</t>
  </si>
  <si>
    <t>B79763 NAUTICA CAR WASH</t>
  </si>
  <si>
    <t>HOTEL CLAUDIA IBARRA - AXIS MTY</t>
  </si>
  <si>
    <t>A33114 AUTO SERV LOMA DORADA</t>
  </si>
  <si>
    <t>LPA3377 COMBUSTIBLES FLOHIN</t>
  </si>
  <si>
    <t>FAC1671 BORDADOS JONES</t>
  </si>
  <si>
    <t>F253347549 VOLARIS</t>
  </si>
  <si>
    <t>F253347701 VOLARIS</t>
  </si>
  <si>
    <t>7F28640304 REFACCIONARIA TREVIÃ‘O</t>
  </si>
  <si>
    <t>IXCRQ11261 BODEGA AURRERA</t>
  </si>
  <si>
    <t>H03259 PASTELERIA GABY</t>
  </si>
  <si>
    <t>A33097 AUTO SERV LOMA DORADA</t>
  </si>
  <si>
    <t>A33095 AUTO SERV LOMA DORADA</t>
  </si>
  <si>
    <t>A33096 AUTO SERV LOMA DORADA</t>
  </si>
  <si>
    <t>ISR CAUSADO FEBRERO 2026</t>
  </si>
  <si>
    <t>F214 FERRE LAS PALMAS</t>
  </si>
  <si>
    <t>ICABA887063 SAMS EN LINEA</t>
  </si>
  <si>
    <t>BZK21146 FARM GUAD</t>
  </si>
  <si>
    <t>KJ158454 MI TIENDA</t>
  </si>
  <si>
    <t>A33072 AUTO SERV LOMA DORADA</t>
  </si>
  <si>
    <t>A33098 AUTO SERV LOMA DORADA</t>
  </si>
  <si>
    <t>2DO BIMESTRE 2026</t>
  </si>
  <si>
    <t>3% SOBRE NOMINAS FEB 2026</t>
  </si>
  <si>
    <t>SEGBBVA TRANSAC SEGURA MP/P0J34E540RFB RECIBO NO.    * 00542237507     3005</t>
  </si>
  <si>
    <t>LPA3356 COMBUSTIBLES FLOHIN</t>
  </si>
  <si>
    <t>F-13009919 OFFICE DEPOT</t>
  </si>
  <si>
    <t>IXCRE11225 BODEGA AURRERA</t>
  </si>
  <si>
    <t>NOMINA 2DA SEMANA MARZO 2026</t>
  </si>
  <si>
    <t>COMISION POR CLIENTE NUEVO-CELESTE BASTIAN LANDA</t>
  </si>
  <si>
    <t>FERR Y MAT LAS PALMAS</t>
  </si>
  <si>
    <t>A33065 AUTO SERV LOMA DORADA</t>
  </si>
  <si>
    <t>B155801000 VIVAEROBUS</t>
  </si>
  <si>
    <t>F71FABRICACION DE PORTON ANTICIPO 50%</t>
  </si>
  <si>
    <t>F1210415 PETROMAX</t>
  </si>
  <si>
    <t>CL-7936631  EDENRED SEM 11</t>
  </si>
  <si>
    <t>BBABE461397 CITY CLUB</t>
  </si>
  <si>
    <t>F-39438 HOME DEPOT -  PINTURA</t>
  </si>
  <si>
    <t>DG58793 PINTURAS DE REYNOSA</t>
  </si>
  <si>
    <t>FAD17228952, FAD17228953 DESPEGAR.COM</t>
  </si>
  <si>
    <t>SIH11908 STAY INN HOTELS - EVENTO DAHUA</t>
  </si>
  <si>
    <t>A33043 AUTO SERV LOMA DORADA</t>
  </si>
  <si>
    <t>F 693021 STEEL MART / BROQUERO Y REVISON DE HERRAMIENTA</t>
  </si>
  <si>
    <t>FRE6155 MEGA FIX / CLAVOS</t>
  </si>
  <si>
    <t>B-79616 NAUTICA CAR WASH</t>
  </si>
  <si>
    <t>F24443 FACTURAPI</t>
  </si>
  <si>
    <t>FAC55 FERRETERA LA NORMAL</t>
  </si>
  <si>
    <t>A-1387353 UNICOM</t>
  </si>
  <si>
    <t>F162721 COMBUSTIBLE / CARGA TOMAS</t>
  </si>
  <si>
    <t>I-2295285 Fondonacional de infraestructura</t>
  </si>
  <si>
    <t>F-885985 SAM'S - TV PARA SALA RH</t>
  </si>
  <si>
    <t>CARNES FINAS MG - EVENTO DAHUA</t>
  </si>
  <si>
    <t>F-40215 HOME DEPOT - PISTOLA ALTA PRESION</t>
  </si>
  <si>
    <t>F-40215 HOME DEPOT - OFICINA</t>
  </si>
  <si>
    <t>BZK21125 MARM GUADALAJARA - CURSO 10/03/26</t>
  </si>
  <si>
    <t>1464-3033 7-ELEVEN MEXICO / AGUA</t>
  </si>
  <si>
    <t>JSW410 COMSA. COMBUSTIBLES MEXICANOS</t>
  </si>
  <si>
    <t>F604277 AGUA BLANQUITA</t>
  </si>
  <si>
    <t>F-39438 HOME DEPOT - BROCA</t>
  </si>
  <si>
    <t>A33016 AUTO SERV LOMA DORADA</t>
  </si>
  <si>
    <t>A33013 AUTO SERV LOMA DORADA</t>
  </si>
  <si>
    <t>A33012 AUTO SERV LOMA DORADA</t>
  </si>
  <si>
    <t>A33015 AUTO SERV LOMA DORADA</t>
  </si>
  <si>
    <t>A33014 AUTO SERV LOMA DORADA</t>
  </si>
  <si>
    <t>A33017 AUTO SERV LOMA DORADA</t>
  </si>
  <si>
    <t>A33030 AUTO SERV LOMA DORADA</t>
  </si>
  <si>
    <t>F194 FERRET LAS PAMAS - MANGUERA LAVADO</t>
  </si>
  <si>
    <t>F785 JUAN BERNARDO MORALES BARRAZA</t>
  </si>
  <si>
    <t>NOMINA 1ER SEMANA DE MARZO 2026</t>
  </si>
  <si>
    <t>Comisiones Noviembre 2025_ Ramiro Lee</t>
  </si>
  <si>
    <t>FA4723186 Red estatal de autopistas</t>
  </si>
  <si>
    <t>f-11237 Bodega aurrera- Hielo</t>
  </si>
  <si>
    <t>I-22922329 Fondo nacional de infraestructura</t>
  </si>
  <si>
    <t>F187 FERRET LAS PALMAS</t>
  </si>
  <si>
    <t>F81806016 OFFICE DEPOT - MAT RH</t>
  </si>
  <si>
    <t>HOTEL EXPO SYSCOM</t>
  </si>
  <si>
    <t>CL-7926817 EDENRED SEM 10</t>
  </si>
  <si>
    <t>FREY-136640 VALLE</t>
  </si>
  <si>
    <t>BM118871 PLOMERIA ELECTRICA / 3 FOCOS</t>
  </si>
  <si>
    <t>F186 FERRET LAS PALMAS</t>
  </si>
  <si>
    <t>F-39437 HOME DEPOT</t>
  </si>
  <si>
    <t>LPA3278 COMBUSTIBLES FLOHIN</t>
  </si>
  <si>
    <t>H-03246 PASTELES GABY</t>
  </si>
  <si>
    <t>DG58792 PINTURAS DE REYNOSA</t>
  </si>
  <si>
    <t>A32979 AUTO SERV LOMA DORADA</t>
  </si>
  <si>
    <t>F-12923266 OFFICE DEPOT / MATERIAL RH</t>
  </si>
  <si>
    <t>F-1923152 PETROMAX</t>
  </si>
  <si>
    <t>FAC21 FERRETERIA LA NORMAL - THINER</t>
  </si>
  <si>
    <t>UBER`S RIDE</t>
  </si>
  <si>
    <t>16. DETALLES 8 MARZO DIA INTERNACIONAL DE LA MUJER</t>
  </si>
  <si>
    <t>FAC15 FERRETERA LA NORMAL</t>
  </si>
  <si>
    <t>F-11232 BODEGA AURRERA - CLORO</t>
  </si>
  <si>
    <t>F-11231 BODEGA AURRERA - BOLSAS</t>
  </si>
  <si>
    <t>7085-194073 AUTOZONE</t>
  </si>
  <si>
    <t>CLI58503074 OXXO GAS</t>
  </si>
  <si>
    <t>L2792 PINTURAS BEREL</t>
  </si>
  <si>
    <t>FA26/376566 SYSCOM / MINISPLIT RH</t>
  </si>
  <si>
    <t>F-27706 VICTOR OLAN / CONTPAQ</t>
  </si>
  <si>
    <t>NAUTICA CAR WASH</t>
  </si>
  <si>
    <t>F-60110 AGUA BLANQUITA</t>
  </si>
  <si>
    <t>PW1094078 ALMACENES IBARRA - CAFE</t>
  </si>
  <si>
    <t>A32946 AUTO SERV LOMA DORADA</t>
  </si>
  <si>
    <t>A32945 AUTO SERV LOMA DORADA</t>
  </si>
  <si>
    <t>F-39451 HOME DEPOT MEXICO</t>
  </si>
  <si>
    <t>PAGO No. 8 PREST. 9602391798</t>
  </si>
  <si>
    <t>F371 URBAN ECOWOODS</t>
  </si>
  <si>
    <t>F-1470294 BLANQUITA / OFICINA RH</t>
  </si>
  <si>
    <t>A32961 AUTO SERV LOMA DORADA</t>
  </si>
  <si>
    <t>GABBK924974 PETROMAX</t>
  </si>
  <si>
    <t>HDI SEGUROS SA DE CV  REF SERV EMISOR:04600001802</t>
  </si>
  <si>
    <t>F-11222 BODEGA AURRERA - BOLSAS</t>
  </si>
  <si>
    <t>TELMEX SERV FEBRERO 2026</t>
  </si>
  <si>
    <t>A32944 AUTO SERV LOMA DORADA</t>
  </si>
  <si>
    <t>A32943 AUTO SERV LOMA DORADA</t>
  </si>
  <si>
    <t>F-1539805 PETROMAX</t>
  </si>
  <si>
    <t>PRIMA DE SEGURO DE DAÃ‘OS</t>
  </si>
  <si>
    <t>PAGO No.30 PREST. 9895643482</t>
  </si>
  <si>
    <t>PAGO No. 6 Contrato 9623785641</t>
  </si>
  <si>
    <t>INTERESES DEL PERIODO TDC 5413</t>
  </si>
  <si>
    <t>INTERESES MONEX MARZO 26</t>
  </si>
  <si>
    <t>F-12871305 OFFICE DEPOT / ADAPT WIFI TPLINK</t>
  </si>
  <si>
    <t>MENSAJERIA Y PAQUETERIA-EVENTOS</t>
  </si>
  <si>
    <t>CAFETERIA-EVENTO</t>
  </si>
  <si>
    <t>PUBLICIDAD-EVENTOS</t>
  </si>
  <si>
    <t>LPA3707 COMBUSTIBLES FLOHIN</t>
  </si>
  <si>
    <t>Comisiones bancarias Bbva dls</t>
  </si>
  <si>
    <t>Comisiones bancarias Banorte</t>
  </si>
  <si>
    <t>EXPO INDEX</t>
  </si>
  <si>
    <t>IMPRESOS MAGICOS-VINILES EXPO INDEX</t>
  </si>
  <si>
    <t>RECOLECCION DE BASURA ABRIL</t>
  </si>
  <si>
    <t>MATERIALES USO INTERNO ABRIL</t>
  </si>
  <si>
    <t>Condonacion</t>
  </si>
  <si>
    <t>A33507 AUTO SERV LOMA DORADA</t>
  </si>
  <si>
    <t>GARRAFIONES DE AGUA - 7ELEVEN</t>
  </si>
  <si>
    <t>f-11391  BODEGA AURRERA - GARRAFONES AGUA</t>
  </si>
  <si>
    <t>A33450 AUTO SERV LOMA DORADA</t>
  </si>
  <si>
    <t>A33475 AUTO SERV LOMA DORADA</t>
  </si>
  <si>
    <t>A33476 AUTO SERV LOMA DORADA</t>
  </si>
  <si>
    <t>COMAPA M-03-2026</t>
  </si>
  <si>
    <t>REF TREVINO TECNOLOGIC RFC:RTR 9009248Y1</t>
  </si>
  <si>
    <t>SAMS - PAPITAS MINIS</t>
  </si>
  <si>
    <t>DNG6779 FARMACIA GUADALAJAR</t>
  </si>
  <si>
    <t>COMIDA TALLER VENTAS CON ALFREDO RODRIGUEZ</t>
  </si>
  <si>
    <t>NOMINA 4TA SEMANA DE ABRIL 2026</t>
  </si>
  <si>
    <t>Comisiones Febrero 2026_ Celeste Landa</t>
  </si>
  <si>
    <t>NABKW-4597 GAS SERV GPO BURGOS</t>
  </si>
  <si>
    <t>AXA SEGUROS POLIZA 94610A12</t>
  </si>
  <si>
    <t>AXA SEGURO POLIZA 160229291700</t>
  </si>
  <si>
    <t>A-1045394 UNICOM</t>
  </si>
  <si>
    <t>BOTELLAS DE AGUA - EVENTO INDEX</t>
  </si>
  <si>
    <t>F-261 FERRET LA NORMAL - EVENTO INDEX</t>
  </si>
  <si>
    <t>f-1554502 petromax</t>
  </si>
  <si>
    <t>CL-7987462 EDENRED SEM 16</t>
  </si>
  <si>
    <t>NABKW-4594 ESTACION ARLO</t>
  </si>
  <si>
    <t>F-11355 BODEGA AURRERA</t>
  </si>
  <si>
    <t>B-80217 Nautica Carwash</t>
  </si>
  <si>
    <t>H3313 PASTELERIA GABY</t>
  </si>
  <si>
    <t>F-21431 FARMACIA GUADALAJARA - EVENTO INDEX</t>
  </si>
  <si>
    <t>F-51429 HOME DEPOT - EVENTO INDEX</t>
  </si>
  <si>
    <t>CL-7993856 EDENRED SEM 17</t>
  </si>
  <si>
    <t>TRAPEADOR</t>
  </si>
  <si>
    <t>F-844 SONJACK - EXPO GDL</t>
  </si>
  <si>
    <t>MARNAPA - EXPO GDL</t>
  </si>
  <si>
    <t>I-2336193 FONDO NAC DE INFRA</t>
  </si>
  <si>
    <t>F-158589 OMA LOGISTICA - EXPO GDL</t>
  </si>
  <si>
    <t>FA-561806072 TELCEL</t>
  </si>
  <si>
    <t>A33399 AUTO SERV LOMA DORADA</t>
  </si>
  <si>
    <t>A33398 AUTO SERV LOMA DORADA</t>
  </si>
  <si>
    <t>A33401 AUTO SERV LOMA DORADA</t>
  </si>
  <si>
    <t>F25334 FACTURAPI</t>
  </si>
  <si>
    <t>104V016 BLANQUITA / FLEJE - EVENTO INDEX</t>
  </si>
  <si>
    <t>F-44246 JUAN CARLOS RAMOS</t>
  </si>
  <si>
    <t>104V2332 BLANQUITA / FLEJE - EVENTO INDEX</t>
  </si>
  <si>
    <t>F-1555927 PETROMAX</t>
  </si>
  <si>
    <t>COMBUSTIBLES FLOHI</t>
  </si>
  <si>
    <t>A33400 AUTO SERV LOMA DORADA</t>
  </si>
  <si>
    <t>PAGO IMSS MARZO 2026</t>
  </si>
  <si>
    <t>HONORARIOS</t>
  </si>
  <si>
    <t>F-15838 CESAR HIRAM MASCORRO</t>
  </si>
  <si>
    <t>A19273 SHERWIN WILLIAM</t>
  </si>
  <si>
    <t>A33421 AUTO SERV LOMA DORADA</t>
  </si>
  <si>
    <t>F373 MYRNA ISABEL GARCIA</t>
  </si>
  <si>
    <t>PETRO7 GAS JARACHINA</t>
  </si>
  <si>
    <t>NOMINA 3ER SEMANA DE ABRIL 2026</t>
  </si>
  <si>
    <t>INV-DF-MEX-6713356- STARLINK</t>
  </si>
  <si>
    <t>A2889 FRANCISCO CUADRAS - EVENTO INDEX</t>
  </si>
  <si>
    <t>FA26/633076 SYSCOM - EVENTO INDEX</t>
  </si>
  <si>
    <t>CFDI-2501 IMPRENTA &amp; PUBLICIDAD - EVENTO INDEX</t>
  </si>
  <si>
    <t>F-6770347 FARM SIMILARES</t>
  </si>
  <si>
    <t>FREY-137486 Y FREY-137489 VALLEN</t>
  </si>
  <si>
    <t>RIW6601 KARZO CENTER</t>
  </si>
  <si>
    <t>F869  ALEJANDRA RUIZ SOBERANTES</t>
  </si>
  <si>
    <t>A33360 AUTO SERV LOMA DORADA</t>
  </si>
  <si>
    <t>RENTA DE MANTELES</t>
  </si>
  <si>
    <t>A33330 AUTO SERV LOMA DORADA</t>
  </si>
  <si>
    <t>A33329 AUTO SERV LOMA DORADA</t>
  </si>
  <si>
    <t>3% SOBRE NOMINAS MARZO 2026</t>
  </si>
  <si>
    <t>F-566 PINTURA BEREL / EVENTO INDEX</t>
  </si>
  <si>
    <t>A-6247 PINTURAS FLEX / EVENTO INDEX</t>
  </si>
  <si>
    <t>IXCRQ1133 BODEGA AURRERA / ANIVERSARIO EVENTO</t>
  </si>
  <si>
    <t>JSW632 GASOLINERAS TUDO</t>
  </si>
  <si>
    <t>AXA SEGUROS POLIZA 94610A1</t>
  </si>
  <si>
    <t>F-355 LAS PALMAS - EVENTO INDEX</t>
  </si>
  <si>
    <t>A33327 AUTO SERV LOMA DORADA</t>
  </si>
  <si>
    <t>DECORACION EVENTO DE ANIVERSARIO TIENDA</t>
  </si>
  <si>
    <t>A33318 AUTO SERV LOMA DORADA</t>
  </si>
  <si>
    <t>F-68045327 Y F-6804693 OFFICE DEPOT</t>
  </si>
  <si>
    <t>lpa3556  combustibles flohin</t>
  </si>
  <si>
    <t>F-48837 Y F-48838 HOME DEPOT / EVENTO INDEX</t>
  </si>
  <si>
    <t>A33328 AUTO SERV LOMA DORADA</t>
  </si>
  <si>
    <t>SEGBBVA TRANSAC SEGURA MP/P0J34E540RFB RECIBO NO.    * 00548060339 3005</t>
  </si>
  <si>
    <t>F-60606 ABAST MERCERIA - ANIVERSARIO INTERREY STORE</t>
  </si>
  <si>
    <t>FAC1690 BORDADOS JONES - EVENTO INDEX</t>
  </si>
  <si>
    <t>CAFE</t>
  </si>
  <si>
    <t>B-80080 NAUTICA CAR WASH</t>
  </si>
  <si>
    <t>PAGO No. 7 Contrato 9623785641</t>
  </si>
  <si>
    <t>PAGO No.31 PREST. 9895643482</t>
  </si>
  <si>
    <t>F-64 GRAFICA TOTAL /  BANDERAS</t>
  </si>
  <si>
    <t>CL-7976029 EDENRED SEM 15</t>
  </si>
  <si>
    <t>PAGO No. 9 Contrato 9602391798</t>
  </si>
  <si>
    <t>NOMINA 2DA SEMANA DE ABRIL</t>
  </si>
  <si>
    <t>Comisiones Noviembre 2025_Javier Villanueva</t>
  </si>
  <si>
    <t>LETERO QR REDES SOCIALES</t>
  </si>
  <si>
    <t>PASTEL SUSPIROS</t>
  </si>
  <si>
    <t>A33306 AUTO SERV LOMA DORADA</t>
  </si>
  <si>
    <t>A33307 AUTO SERV LOMA DORADA</t>
  </si>
  <si>
    <t>104V0015 FERRET BLANQUITA / ECENTO INDEX</t>
  </si>
  <si>
    <t>PAGO No. 9 PREST. 960238711</t>
  </si>
  <si>
    <t>IXCRQ11311 BODEGA AURRERA</t>
  </si>
  <si>
    <t>FG22729 INTERGAS</t>
  </si>
  <si>
    <t>F 697217 STEEL MART</t>
  </si>
  <si>
    <t>HEFGK-1550940 PETROMAX</t>
  </si>
  <si>
    <t>FD7638 CANTERA, LAJA Y GRANITIOS</t>
  </si>
  <si>
    <t>Licencia para Mercadotecnia</t>
  </si>
  <si>
    <t>JY719944 MI TIENDA / JABON</t>
  </si>
  <si>
    <t>NABKW-4572 ARLO</t>
  </si>
  <si>
    <t>LPA3508 COMBUSTIBLES FLOHIN</t>
  </si>
  <si>
    <t>A33276 AUTO SERV LOMA DORADA</t>
  </si>
  <si>
    <t>A33277 AUTO SERV LOMA DORADA</t>
  </si>
  <si>
    <t>F-312 LAS PALMAS / EVENTO INDEX GABINETE</t>
  </si>
  <si>
    <t>A-6224 PINTURAS FELX / EVENTO INDEX - ESTANTE</t>
  </si>
  <si>
    <t>FCP-23820515 GOOGLE CLOUD</t>
  </si>
  <si>
    <t>1432-3049 7-ELEVEN / GARRAFONES DE AGUS</t>
  </si>
  <si>
    <t>FREY-137333 VALLEN</t>
  </si>
  <si>
    <t>F74 KEVIN ALEJANDRO VAZQUEZ / PORTON 50%</t>
  </si>
  <si>
    <t>LIQUIDACION VERONICA ISABEL CASTILLO</t>
  </si>
  <si>
    <t>A33261 AUTO SERV LOMA DORADA</t>
  </si>
  <si>
    <t>FHI2610 Maderas Bosque / Evento Index</t>
  </si>
  <si>
    <t>F-229858 AUTOXONE MEXICO</t>
  </si>
  <si>
    <t>ICABA891669 SAMS</t>
  </si>
  <si>
    <t>TELMEX MARZO</t>
  </si>
  <si>
    <t>INT504380 INTERCOMPRAS</t>
  </si>
  <si>
    <t>BLANCA MIREYA VARELA / SERV BANQUETE ANIVERSARIO</t>
  </si>
  <si>
    <t>F-47008 HOME DEPOT / EVENTOINDEX - Panel MDF</t>
  </si>
  <si>
    <t>F-1654 DISEÃ‘OS FENIX</t>
  </si>
  <si>
    <t>F-87733 HOTEL HANGAR</t>
  </si>
  <si>
    <t>B-157200224 VIVAEROBUS</t>
  </si>
  <si>
    <t>A1397701 UNICOM</t>
  </si>
  <si>
    <t>ADMINISTRACION</t>
  </si>
  <si>
    <t>Microsoft 365 Familia-ANUAL</t>
  </si>
  <si>
    <t>FRE6779 TIENDAS FIX</t>
  </si>
  <si>
    <t>NOMINA 1RA SEMANA DE ABRIL 2026</t>
  </si>
  <si>
    <t>NOMINA 1ERA SEMANA DE ABRIL 2026</t>
  </si>
  <si>
    <t>CL-7967580 EDENRED SEM 14</t>
  </si>
  <si>
    <t>CFDI2479 JULIO C BRIONES / ANIVERSARIO TIENDA - BOLIGRAFOS</t>
  </si>
  <si>
    <t>CFDI2479 JULIO C BRIONES / EVENTO INDEX - BOLIGRAFOS</t>
  </si>
  <si>
    <t xml:space="preserve"> </t>
  </si>
  <si>
    <t>1. Publicidad y Eventos (Gasto Total: $123,483)</t>
  </si>
  <si>
    <r>
      <t>La alerta:</t>
    </r>
    <r>
      <rPr>
        <sz val="11"/>
        <color theme="1"/>
        <rFont val="Aptos Narrow"/>
        <family val="2"/>
        <scheme val="minor"/>
      </rPr>
      <t xml:space="preserve"> En enero gastaste solo $9,087 en este rubro, pero en abril </t>
    </r>
    <r>
      <rPr>
        <b/>
        <sz val="11"/>
        <color theme="1"/>
        <rFont val="Aptos Narrow"/>
        <family val="2"/>
        <scheme val="minor"/>
      </rPr>
      <t>se disparó a $54,951</t>
    </r>
    <r>
      <rPr>
        <sz val="11"/>
        <color theme="1"/>
        <rFont val="Aptos Narrow"/>
        <family val="2"/>
        <scheme val="minor"/>
      </rPr>
      <t>.</t>
    </r>
  </si>
  <si>
    <r>
      <t>La oportunidad:</t>
    </r>
    <r>
      <rPr>
        <sz val="11"/>
        <color theme="1"/>
        <rFont val="Aptos Narrow"/>
        <family val="2"/>
        <scheme val="minor"/>
      </rPr>
      <t xml:space="preserve"> Gastaste el máximo en publicidad justo el mes que tuviste las ventas más bajas del año. Es urgente auditar este gasto de abril (¿fue una expo, patrocinios, o pautas digitales?). Si no está trayendo prospectos calificados, hay que congelar o reducir este presupuesto a su nivel base de enero.</t>
    </r>
  </si>
  <si>
    <t>2. Costo de Flotilla y Movilidad (Gasto Total: ~$288,500)</t>
  </si>
  <si>
    <r>
      <t>La alerta:</t>
    </r>
    <r>
      <rPr>
        <sz val="11"/>
        <color theme="1"/>
        <rFont val="Aptos Narrow"/>
        <family val="2"/>
        <scheme val="minor"/>
      </rPr>
      <t xml:space="preserve"> Si sumamos </t>
    </r>
    <r>
      <rPr>
        <b/>
        <sz val="11"/>
        <color theme="1"/>
        <rFont val="Aptos Narrow"/>
        <family val="2"/>
        <scheme val="minor"/>
      </rPr>
      <t>Combustible ($174,774)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Mensualidad de Autos ($78,465)</t>
    </r>
    <r>
      <rPr>
        <sz val="11"/>
        <color theme="1"/>
        <rFont val="Aptos Narrow"/>
        <family val="2"/>
        <scheme val="minor"/>
      </rPr>
      <t xml:space="preserve"> y </t>
    </r>
    <r>
      <rPr>
        <b/>
        <sz val="11"/>
        <color theme="1"/>
        <rFont val="Aptos Narrow"/>
        <family val="2"/>
        <scheme val="minor"/>
      </rPr>
      <t>Mantenimiento de Autos ($35,286)</t>
    </r>
    <r>
      <rPr>
        <sz val="11"/>
        <color theme="1"/>
        <rFont val="Aptos Narrow"/>
        <family val="2"/>
        <scheme val="minor"/>
      </rPr>
      <t>, mantener a tu equipo en movimiento te cuesta un promedio de $72,000 mensuales.</t>
    </r>
  </si>
  <si>
    <r>
      <t>La oportunidad:</t>
    </r>
    <r>
      <rPr>
        <sz val="11"/>
        <color theme="1"/>
        <rFont val="Aptos Narrow"/>
        <family val="2"/>
        <scheme val="minor"/>
      </rPr>
      <t xml:space="preserve"> El combustible bajó ligeramente en abril ($37k), lo cual es bueno, pero sigue siendo alto. Implementar bitácoras de kilometraje estrictas, optimización de rutas mediante GPS, o establecer topes mensuales por vehículo/promotor mediante tarjetas de gasolina (como Edenred que ya usan) puede ahorrarte entre un 10% y 15% mensual.</t>
    </r>
  </si>
  <si>
    <t>3. Seguros (Gasto Total: $139,178)</t>
  </si>
  <si>
    <r>
      <t>La alerta:</t>
    </r>
    <r>
      <rPr>
        <sz val="11"/>
        <color theme="1"/>
        <rFont val="Aptos Narrow"/>
        <family val="2"/>
        <scheme val="minor"/>
      </rPr>
      <t xml:space="preserve"> Estás pagando un promedio de $34,000 mensuales en seguros, pero la cifra fluctúa mucho (en febrero pagaste $46k y en abril $24k).</t>
    </r>
  </si>
  <si>
    <r>
      <t>La oportunidad:</t>
    </r>
    <r>
      <rPr>
        <sz val="11"/>
        <color theme="1"/>
        <rFont val="Aptos Narrow"/>
        <family val="2"/>
        <scheme val="minor"/>
      </rPr>
      <t xml:space="preserve"> Si estos son seguros de vehículos o de la empresa, los pagos fraccionados mensuales suelen incluir recargos por financiamiento (a veces del 10% al 15%). Vale la pena evaluar pagar las pólizas de contado (anual) utilizando el flujo de los meses fuertes para aprovechar descuentos por pronto pago.</t>
    </r>
  </si>
  <si>
    <t>4. Gastos Administrativos Menores (Papelería y General)</t>
  </si>
  <si>
    <r>
      <t>La alerta:</t>
    </r>
    <r>
      <rPr>
        <sz val="11"/>
        <color theme="1"/>
        <rFont val="Aptos Narrow"/>
        <family val="2"/>
        <scheme val="minor"/>
      </rPr>
      <t xml:space="preserve"> En "Papelería" gastaste </t>
    </r>
    <r>
      <rPr>
        <b/>
        <sz val="11"/>
        <color theme="1"/>
        <rFont val="Aptos Narrow"/>
        <family val="2"/>
        <scheme val="minor"/>
      </rPr>
      <t>$32,672</t>
    </r>
    <r>
      <rPr>
        <sz val="11"/>
        <color theme="1"/>
        <rFont val="Aptos Narrow"/>
        <family val="2"/>
        <scheme val="minor"/>
      </rPr>
      <t xml:space="preserve"> y en rubros "Generales" </t>
    </r>
    <r>
      <rPr>
        <b/>
        <sz val="11"/>
        <color theme="1"/>
        <rFont val="Aptos Narrow"/>
        <family val="2"/>
        <scheme val="minor"/>
      </rPr>
      <t>$50,632</t>
    </r>
    <r>
      <rPr>
        <sz val="11"/>
        <color theme="1"/>
        <rFont val="Aptos Narrow"/>
        <family val="2"/>
        <scheme val="minor"/>
      </rPr>
      <t xml:space="preserve"> en cuatro meses. Específicamente en abril, cuando las ventas cayeron, gastaste casi $12,000 solo en papelería.</t>
    </r>
  </si>
  <si>
    <r>
      <t>La oportunidad:</t>
    </r>
    <r>
      <rPr>
        <sz val="11"/>
        <color theme="1"/>
        <rFont val="Aptos Narrow"/>
        <family val="2"/>
        <scheme val="minor"/>
      </rPr>
      <t xml:space="preserve"> Digitalizar firmas y flujos de trabajo (aprovechando que ya pagan software) y establecer un presupuesto estricto de caja chica para la oficina te ayudará a frenar esta "fuga hormiga".</t>
    </r>
  </si>
  <si>
    <t>5. Pagos de Créditos Bancarios (Gasto Total: $359,484)</t>
  </si>
  <si>
    <r>
      <t>La alerta:</t>
    </r>
    <r>
      <rPr>
        <sz val="11"/>
        <color theme="1"/>
        <rFont val="Aptos Narrow"/>
        <family val="2"/>
        <scheme val="minor"/>
      </rPr>
      <t xml:space="preserve"> Pagas un promedio de $90,000 mensuales a capital/intereses. Aunque va bajando muy lentamente mes a mes, es un peso fijo enorme que te asfixia en meses bajos como Abril.</t>
    </r>
  </si>
  <si>
    <r>
      <t>La oportunidad:</t>
    </r>
    <r>
      <rPr>
        <sz val="11"/>
        <color theme="1"/>
        <rFont val="Aptos Narrow"/>
        <family val="2"/>
        <scheme val="minor"/>
      </rPr>
      <t xml:space="preserve"> Sería excelente que tuviéramos a la mano las tasas de interés de esos créditos. Con las utilidades que generaste en el primer trimestre, o buscando un banco que consolide tu deuda a una tasa menor, podrías bajar esta mensualidad significativamente para liberar flujo de caja.</t>
    </r>
  </si>
  <si>
    <r>
      <t>Nota rápida sobre los Salarios:</t>
    </r>
    <r>
      <rPr>
        <sz val="11"/>
        <color theme="1"/>
        <rFont val="Aptos Narrow"/>
        <family val="2"/>
        <scheme val="minor"/>
      </rPr>
      <t xml:space="preserve"> Tu nómina ($3 millones acumulados) es tu gasto número uno, promediando unos $750,000 al mes. Si bien en marzo lograste bajarla a $681k, en abril subió a $719k. Hay que revisar que no se estén pagando horas extras injustificadas en los meses de baja productividad.</t>
    </r>
  </si>
  <si>
    <t>NABKC-4606 ESTACION ARLO</t>
  </si>
  <si>
    <t>CL-80500198 EDENRED SEM 22</t>
  </si>
  <si>
    <t>FG0023153 INTERGAS</t>
  </si>
  <si>
    <t>NOMINA 5TA SEMANA DE MAYO 2026</t>
  </si>
  <si>
    <t>PAGO INFONAVIT 2DO BIMESTRE</t>
  </si>
  <si>
    <t>Comisiones bancarias BBVA dls</t>
  </si>
  <si>
    <t>FAC 79 IMPRESOS MAGICOS AT IMPRESION DE 30 CATALOGOS SOLAR</t>
  </si>
  <si>
    <t>F1753 AXIS LAC / CAPACITACION CLAUDIA</t>
  </si>
  <si>
    <t>RECOLECCION DE BASURA MENSUAL</t>
  </si>
  <si>
    <t>FRE8130 TIENDAS FIX</t>
  </si>
  <si>
    <t>F-940120 PETROMAX</t>
  </si>
  <si>
    <t>FCP-24454109 GOOGLE CLOUD</t>
  </si>
  <si>
    <t>POSE82243183 OFFICE DEPOT</t>
  </si>
  <si>
    <t>F-61447 ABASTECEDORA MERCERIAS</t>
  </si>
  <si>
    <t>B-80774 NAUTICA CAR WASH</t>
  </si>
  <si>
    <t>NABKW-4682 ESTACION ARLO</t>
  </si>
  <si>
    <t>COMBUSTIBLES FLOHIN</t>
  </si>
  <si>
    <t>IDA A CORNING MTY</t>
  </si>
  <si>
    <t>Lentes - Las palmas</t>
  </si>
  <si>
    <t>IXCRQ11474  BODEGA / AGUA</t>
  </si>
  <si>
    <t>OFFICE MAX 7121416</t>
  </si>
  <si>
    <t>7039-463541 AUTOZONE / SILVERADO</t>
  </si>
  <si>
    <t>A33848 AUTO SERV LOMA DORADA</t>
  </si>
  <si>
    <t>A33849 AUTO SERV LOMA DORADA</t>
  </si>
  <si>
    <t>A33847 AUTO SERV LOMA DORADA</t>
  </si>
  <si>
    <t>FRE8032 TIENDAS FIX / GUANTES</t>
  </si>
  <si>
    <t>AXA SEGUROS POLIZA 160229291701</t>
  </si>
  <si>
    <t>E757 OSCAR EDUARDO DE LA ROSA</t>
  </si>
  <si>
    <t>IXCRQ11465 BODEGA / AGUA</t>
  </si>
  <si>
    <t>A33826 AUTO SERV LOMA DORADA</t>
  </si>
  <si>
    <t>NOMINA 4TA SEMANA DE MAYO 2026</t>
  </si>
  <si>
    <t>CL-8037001 EDENRED SEM 21</t>
  </si>
  <si>
    <t>7085-286624 AUTOZONE / MARCH</t>
  </si>
  <si>
    <t>LII6571 SERV IDEL DE TAMPS</t>
  </si>
  <si>
    <t>Indeed publicaciÃ³n de vacantes</t>
  </si>
  <si>
    <t>A33792 AUTO SERV LOMA DORADA</t>
  </si>
  <si>
    <t>F-63970 AGUA BKLANQUITA</t>
  </si>
  <si>
    <t>FA-577374243 TELCEL</t>
  </si>
  <si>
    <t>FMTY/26/2653 CORP GLOBAL SOLES</t>
  </si>
  <si>
    <t>F-58050 HOME DEPOT / Evento Club Rotario</t>
  </si>
  <si>
    <t>F-375 FERNANDO JAVIER PANCARDO</t>
  </si>
  <si>
    <t>A33740 AUTO SERV LOMA DORADA</t>
  </si>
  <si>
    <t>REYH12637 INBOX</t>
  </si>
  <si>
    <t>REYH12630 INBOX</t>
  </si>
  <si>
    <t>F-156409 PETROMAX</t>
  </si>
  <si>
    <t>3% S/ NOMINAS ABRIL 2026</t>
  </si>
  <si>
    <t>A33739 AUTO SERV LOMA DORADA</t>
  </si>
  <si>
    <t>A33753 AUTO SERV LOMA DORADA</t>
  </si>
  <si>
    <t>REYH12636 INBOX</t>
  </si>
  <si>
    <t>REYH12638 INBOX</t>
  </si>
  <si>
    <t>IMSS ABRIL</t>
  </si>
  <si>
    <t>rexvfb-1542 holiday Inn - Curso Panuit fibra optica</t>
  </si>
  <si>
    <t>REPARACION DE LLANTAS</t>
  </si>
  <si>
    <t>REY0629320819 REF TREVINO</t>
  </si>
  <si>
    <t>F-57228 HOME DEPOT / OFICINAS</t>
  </si>
  <si>
    <t>A33701 AUTO SERV LOMA DORADA</t>
  </si>
  <si>
    <t>PAGO LUZ TIENDA</t>
  </si>
  <si>
    <t>MESA JUNTAS OFICINA</t>
  </si>
  <si>
    <t>F-3391890 PETROMAX</t>
  </si>
  <si>
    <t>CL-8030367 EDENRED SEM 120</t>
  </si>
  <si>
    <t>F-3114 7-ELEVEN GARRAFON DE AGUA</t>
  </si>
  <si>
    <t>A33724 AUTO SERV LOMA DORADA</t>
  </si>
  <si>
    <t>A33718 AUTO SERV LOMA DORADA</t>
  </si>
  <si>
    <t>NOMINA 3ER SEMANA DE MAYO 2026</t>
  </si>
  <si>
    <t>ICABA902554 SAMS</t>
  </si>
  <si>
    <t>A19379 PINTUTAS /  EVENTO ROTARIO</t>
  </si>
  <si>
    <t>IXCRQ1433 BODEGA / JABON MANOS</t>
  </si>
  <si>
    <t>IXCRQ11434 BODEGA / AGUA</t>
  </si>
  <si>
    <t>HOSUE DANIEL ALANIS / DUPLICADO</t>
  </si>
  <si>
    <t>A33685 AUTO SERV LOMA DORADA</t>
  </si>
  <si>
    <t>CMYK PUBLICIDAD REYNOSA / BOLIGRAFOS</t>
  </si>
  <si>
    <t>COL1-13874 MERCADI LIBRE / BOLSAS</t>
  </si>
  <si>
    <t>A32946 Y A32955 JUMAR</t>
  </si>
  <si>
    <t>F-4341  7-Eleven / Hielo</t>
  </si>
  <si>
    <t>IXCRQ11424 Bodega / Hielo</t>
  </si>
  <si>
    <t>FCP13287409 CAPUFE</t>
  </si>
  <si>
    <t>FAC1714 Playeras blancas Ing. Orlando/ Ing. Javier</t>
  </si>
  <si>
    <t>FRE7661 TIENDAS FIX / GUANTES</t>
  </si>
  <si>
    <t>B19691 OFFICEPRO</t>
  </si>
  <si>
    <t>MATINE BRUNCH / DIA DE LAS MADRES</t>
  </si>
  <si>
    <t>F26304 FACTURAPI</t>
  </si>
  <si>
    <t>STARLINK</t>
  </si>
  <si>
    <t>NOMINA 2DA SEMANA DE MAYO 2026</t>
  </si>
  <si>
    <t>A33625 AUTO SERV LOMA DORADA</t>
  </si>
  <si>
    <t>CL-8018666 EDENRED SEM 19</t>
  </si>
  <si>
    <t>A33599 AUTO SERV LOMA DORADA</t>
  </si>
  <si>
    <t>A33597 AUTO SERV LOMA DORADA</t>
  </si>
  <si>
    <t>A33598 AUTO SERV LOMA DORADA</t>
  </si>
  <si>
    <t>IXCRQ11413 Bodega / Agua</t>
  </si>
  <si>
    <t>INDUSTRIAS PEÃ‘A / REPARACION CAMIONETA DON PEDRO</t>
  </si>
  <si>
    <t>B1270 CLUB ROTARIO</t>
  </si>
  <si>
    <t>PAGO No.32 PREST. 9895643482</t>
  </si>
  <si>
    <t>PAGO No. 10 PREST. 960238711</t>
  </si>
  <si>
    <t>PAGO No. 10 PREST. 9602391798</t>
  </si>
  <si>
    <t>F-4335 GAS SERV GPO BURGOS</t>
  </si>
  <si>
    <t>A-4331 GAS SERV GPO BURGOS</t>
  </si>
  <si>
    <t>REGALOS 10 DE MAYO 2026</t>
  </si>
  <si>
    <t>F-1560261 PETROMAX</t>
  </si>
  <si>
    <t>F-1559548 PETROMAX</t>
  </si>
  <si>
    <t>F5511 SATRERIA VAN DER WOLF /  CONSUMO</t>
  </si>
  <si>
    <t>TELMEX ABRIL 2026</t>
  </si>
  <si>
    <t>PAGO No. 8 Contrato 9623785641</t>
  </si>
  <si>
    <t>INTERESES MONEX MAYO 26</t>
  </si>
  <si>
    <t>B80411 BAUTICA CAR WASH</t>
  </si>
  <si>
    <t>NOMINA 1ER SEMANA DE MAYO 2026</t>
  </si>
  <si>
    <t>RH</t>
  </si>
  <si>
    <t>100% SAMARA</t>
  </si>
  <si>
    <t>50% JAVIER</t>
  </si>
  <si>
    <t>AÑO</t>
  </si>
  <si>
    <t>COMPARATIVA ANUAL GASTOS</t>
  </si>
  <si>
    <t>%</t>
  </si>
  <si>
    <t>Análisis de Gastos Operativos INTEREY 2026</t>
  </si>
  <si>
    <t>📊 Resumen Ejecutivo (Enero - Mayo 2026)</t>
  </si>
  <si>
    <t>Total de Gastos Operativos Acumulados: $6,755,620.74 MXN</t>
  </si>
  <si>
    <t>🔝 Top 10 Categorías de Gasto (por monto acumulado):</t>
  </si>
  <si>
    <t>#</t>
  </si>
  <si>
    <t>Total Acumulado</t>
  </si>
  <si>
    <t>% del Total</t>
  </si>
  <si>
    <t>PAGOS DE CRÉDITOS BANCARIOS</t>
  </si>
  <si>
    <t>COMISIÓN DE ASESOR</t>
  </si>
  <si>
    <t>📈 Tendencia Mensual de Gastos Totales:</t>
  </si>
  <si>
    <t>Mes</t>
  </si>
  <si>
    <t>Gasto Total</t>
  </si>
  <si>
    <t>Variación</t>
  </si>
  <si>
    <t>Enero</t>
  </si>
  <si>
    <t>—</t>
  </si>
  <si>
    <t>Febrero</t>
  </si>
  <si>
    <t>↓ -24%</t>
  </si>
  <si>
    <t>Marzo</t>
  </si>
  <si>
    <t>↑ +7%</t>
  </si>
  <si>
    <t>Abril</t>
  </si>
  <si>
    <t>↓ -10%</t>
  </si>
  <si>
    <t>Mayo</t>
  </si>
  <si>
    <t>↑ +4%</t>
  </si>
  <si>
    <t>🔍 Observaciones Clave:</t>
  </si>
  <si>
    <t>1. Nómina es el gasto dominante: Los SALARIOS representan más del 55% del gasto total, promediando ~$755,000/mes.</t>
  </si>
  <si>
    <t>2. Cargas patronales (IMSS + ISN): Suman $719,549.92 (10.7%), lo cual está en línea con el peso de la nómina.</t>
  </si>
  <si>
    <t>3. Costo financiero significativo: Los PAGOS DE CRÉDITOS BANCARIOS (~$90,000/mes promedio) representan una carga fija importante.</t>
  </si>
  <si>
    <t>4. Gastos de movilidad: Sumando COMBUSTIBLE ($207,819) + MANTENIMIENTO DE AUTO ($59,273) + MENSUALIDAD DE AUTO ($106,238) + SEGUROS ($160,561) = $533,891 (7.9% del total).</t>
  </si>
  <si>
    <t>5. Gastos variables controlables: PUBLICIDAD-EVENTOS mostró un pico en abril ($54,952) cuando las ventas fueron más bajas - oportunidad de optimización.</t>
  </si>
  <si>
    <t>MÃ©todo</t>
  </si>
  <si>
    <t>AUTO SERV LOMA DORADA</t>
  </si>
  <si>
    <t>Comisiones bancarias BBVA DLLS</t>
  </si>
  <si>
    <t>MERCADO LIBRE - CAJA DE MTTO IMPRESORA</t>
  </si>
  <si>
    <t>ICABA911963 SAMS</t>
  </si>
  <si>
    <t>MATERIALES DE USO JUNIO 2026</t>
  </si>
  <si>
    <t>PUBLICIDAD ANDREA NALLELY</t>
  </si>
  <si>
    <t>Comisiones bancarias Bnte</t>
  </si>
  <si>
    <t>PEAJES IDA MTY</t>
  </si>
  <si>
    <t>A34282 AUTO SERV LOMA DORAD</t>
  </si>
  <si>
    <t>A34283 AUTO SERV LOMA DORAD</t>
  </si>
  <si>
    <t>A34284 AUTO SERV LOMA DORADA</t>
  </si>
  <si>
    <t>A34285 AUTO SERV LOMA DORADA</t>
  </si>
  <si>
    <t>BARBIQUEJOS VERDES</t>
  </si>
  <si>
    <t>FREY-139367 VALLEN</t>
  </si>
  <si>
    <t>F-28555 ANUALIDAD CONTPAQ</t>
  </si>
  <si>
    <t>INCENTIVO DE PRODUCTIVIDAD</t>
  </si>
  <si>
    <t>F-33326 PETROMAX</t>
  </si>
  <si>
    <t>H-03436 PASTELERIA GABY</t>
  </si>
  <si>
    <t>MERCANCIAS KANTER - TERMOS</t>
  </si>
  <si>
    <t>G68680 AGUA BLANQUITA</t>
  </si>
  <si>
    <t>A34264 AUTO SERV LOMA DORADA</t>
  </si>
  <si>
    <t>HIELO SEMANA 22 AL 27 DE JUN</t>
  </si>
  <si>
    <t>NOMINA 4TA SEMANA DE JUNIO 2026</t>
  </si>
  <si>
    <t>CL-8089320 EDENRED SEM 26</t>
  </si>
  <si>
    <t>A34263 AUTO SERV LOMA DORADA</t>
  </si>
  <si>
    <t>A34265 AUTO SERV LOMA DORADA</t>
  </si>
  <si>
    <t>GABBT-3326 PETRO 7</t>
  </si>
  <si>
    <t>CELULAR CELESTE</t>
  </si>
  <si>
    <t>A34258 AUTO SERV LOMA DORADA</t>
  </si>
  <si>
    <t>REX0293 CT INTERNACIONAL - GTOS DE REPARACION ALFREDO Y SERVER</t>
  </si>
  <si>
    <t>A34214 AUTO SERV LOMA DORADA</t>
  </si>
  <si>
    <t>A34213 AUTO SERV LOMA DORADA</t>
  </si>
  <si>
    <t>A34212 AUTO SERV LOMA DORADA</t>
  </si>
  <si>
    <t>A34211 AUTO SERV LOMA DORADA</t>
  </si>
  <si>
    <t>A34237 SERV LOMA DORADA</t>
  </si>
  <si>
    <t>F-23966827 COMAPA</t>
  </si>
  <si>
    <t>A34210 AUTO SERV LOMA DORADA</t>
  </si>
  <si>
    <t>F-67244 HOME DEPOT</t>
  </si>
  <si>
    <t>HIELO SEMANA 15 AL 20 DE JUN</t>
  </si>
  <si>
    <t>B81122  NAUTICA CAR WASH</t>
  </si>
  <si>
    <t>Comisiones Enero 2026_ Javier Villanueva</t>
  </si>
  <si>
    <t>B81127 NAUTICA CAR WASH</t>
  </si>
  <si>
    <t>A34178 AUTO SERV LOMA DORADA|</t>
  </si>
  <si>
    <t>ROSBEL MARTINEZ - EVENTO DIA DEL PADRE</t>
  </si>
  <si>
    <t>NOMINA 3ER SEMANA DE JUNIO 2026</t>
  </si>
  <si>
    <t>F-24793629 OFFICEMAX</t>
  </si>
  <si>
    <t>GABBT-33250 PETRO 7</t>
  </si>
  <si>
    <t>A34157 AUTO SERV LOMA DORADA</t>
  </si>
  <si>
    <t>IMSS MAYO</t>
  </si>
  <si>
    <t>NR FINANCE 3483142000111</t>
  </si>
  <si>
    <t>A34148 AUTO SERV LOMA DORADA</t>
  </si>
  <si>
    <t>F42 SERV DE INGENIERIA EVJA</t>
  </si>
  <si>
    <t>CL-8079040 EDENRED SEM 254</t>
  </si>
  <si>
    <t>IMPUESTOS MAYO 2026</t>
  </si>
  <si>
    <t>POSM13661866 OFFICE DEPOT</t>
  </si>
  <si>
    <t>A34169 AUTO SERV LOMA DORADA</t>
  </si>
  <si>
    <t>F-653822 AGUA BLANQUITA</t>
  </si>
  <si>
    <t>A34136 AUTO SERV LOMA DORADA</t>
  </si>
  <si>
    <t>1464-3182 7-ELEVEN MEXICO</t>
  </si>
  <si>
    <t>A4513 PASTELERIA SUSPIROS</t>
  </si>
  <si>
    <t>A34135 AUTO SERV LOMA DORADA</t>
  </si>
  <si>
    <t>IXCRQ11562 BODEGA AURRERA</t>
  </si>
  <si>
    <t>3% S/ Nominas Mayo 2026</t>
  </si>
  <si>
    <t>3% S/ Nominas Compl Abril 2026</t>
  </si>
  <si>
    <t>JY729080 HEB</t>
  </si>
  <si>
    <t>POSM13647868 OFFICE DEPOT</t>
  </si>
  <si>
    <t>HIELO SEMANA 8 AL 13 DE JUN</t>
  </si>
  <si>
    <t>H-03397 PASTELERIA GABY</t>
  </si>
  <si>
    <t>A34092 AUTO SERV LOMA DORADA</t>
  </si>
  <si>
    <t>CL-8071397 EDENRED SEM 24</t>
  </si>
  <si>
    <t>NOMINA 2DA SEMANA DE JUNIO 2026</t>
  </si>
  <si>
    <t>F-24802105 OFFICEMAX</t>
  </si>
  <si>
    <t>NABKW-4719 ESTACION ARLO</t>
  </si>
  <si>
    <t>KJ160709 HEB</t>
  </si>
  <si>
    <t>FA26/581811 SYSCOM</t>
  </si>
  <si>
    <t>PAGO No. 11 PREST. 960238711</t>
  </si>
  <si>
    <t>PAGO No. 11 PREST. 9602391798</t>
  </si>
  <si>
    <t>ICABA906940 SAMS</t>
  </si>
  <si>
    <t>A3238 INDEX SEPT 26</t>
  </si>
  <si>
    <t>A34066 AUTO SERV LOMA DORADA</t>
  </si>
  <si>
    <t>F27422 FACTURAPI</t>
  </si>
  <si>
    <t>POSM13645506 OFFICE DEPOT</t>
  </si>
  <si>
    <t>F41 SERV DE INGENIERIA EVJA</t>
  </si>
  <si>
    <t>A34030 AUTO SERV LOMA DORADA</t>
  </si>
  <si>
    <t>A34028 AUTO SERV LOMA DORADA</t>
  </si>
  <si>
    <t>A34031 AUTO SERV LOMA DORADA</t>
  </si>
  <si>
    <t>NABKW-4714 ESTACION ARLO</t>
  </si>
  <si>
    <t>LPA4269 FLOHIN</t>
  </si>
  <si>
    <t>INV-DF-MEX-7294053 STARLINK</t>
  </si>
  <si>
    <t>H-03393 PASTELES GABY</t>
  </si>
  <si>
    <t>KJ160708 MI TIENDA</t>
  </si>
  <si>
    <t>B-80965 NAUTICA CAR WASH</t>
  </si>
  <si>
    <t>HIELO SEMANA 1 AL 6 DE JUN</t>
  </si>
  <si>
    <t>A34029 AUTO SERV LOMA DORADA</t>
  </si>
  <si>
    <t>ML - RefacciÃ³n de la impresora de almacÃ©n</t>
  </si>
  <si>
    <t>FG23233 INTERGAS</t>
  </si>
  <si>
    <t>NOMINA 1ER SEMANA DE JUNIO 2026</t>
  </si>
  <si>
    <t>F-ML-2603147 JANUTDCH</t>
  </si>
  <si>
    <t>F-569 LAS PALMAS</t>
  </si>
  <si>
    <t>CL-8063058 EDENRED SEM 23</t>
  </si>
  <si>
    <t>A33996 AUTO SERV LOMA DORADA</t>
  </si>
  <si>
    <t>FRE8553 TIENDAS FIX</t>
  </si>
  <si>
    <t>PAGO No.33 PREST. 9895643482</t>
  </si>
  <si>
    <t>IXCRQ11524 BODEGA AURRERA</t>
  </si>
  <si>
    <t>A33989 AUTO SERV LOMA DORADA</t>
  </si>
  <si>
    <t>MADERERA BLANQUITA</t>
  </si>
  <si>
    <t>REPARACION DE LLANTA Y FERRETERA</t>
  </si>
  <si>
    <t>Caja de mantenimiento EPSON L5590</t>
  </si>
  <si>
    <t>F1864 VI4 MEXICO</t>
  </si>
  <si>
    <t>TELMEX</t>
  </si>
  <si>
    <t>FCP24458109 GOOGLE</t>
  </si>
  <si>
    <t>RY191834 UNITAM</t>
  </si>
  <si>
    <t>1464-3161 7-ELEVEN /  GARRAFONES</t>
  </si>
  <si>
    <t>FSH111462 NISSAN / MTTO VERSA</t>
  </si>
  <si>
    <t>JSW1066 COMSA</t>
  </si>
  <si>
    <t>FAC465 FERRET LA NORMAL</t>
  </si>
  <si>
    <t>PW1133110 SU BODEGA</t>
  </si>
  <si>
    <t>FRE8352 TIENDAS FIX</t>
  </si>
  <si>
    <t>HDI SEGURO REF:0766804</t>
  </si>
  <si>
    <t>PAGO No. 9 Contrato 9623785641</t>
  </si>
  <si>
    <t>A-1418289 INICOM</t>
  </si>
  <si>
    <t>LPA4044  FLOHIN</t>
  </si>
  <si>
    <t>LPA4046 FLOHIN</t>
  </si>
  <si>
    <t>LPA4047 FLOHIN</t>
  </si>
  <si>
    <t>LPA4045 FLOHIN</t>
  </si>
  <si>
    <t>E-105574 TEAM-MEX</t>
  </si>
  <si>
    <t>LPA4270 FLOHIN</t>
  </si>
  <si>
    <t>INTERESES MONEX JUNIO 26</t>
  </si>
  <si>
    <t>UTILIDAD  2026</t>
  </si>
  <si>
    <t>COMISIONES PROYECTOS  JAVIER VILLANUEVA MARZO 2026</t>
  </si>
  <si>
    <t>I - 2443971 casetas</t>
  </si>
  <si>
    <t>A34682 AUTO SERV LOMA DORADA</t>
  </si>
  <si>
    <t>KJ49547  HEB</t>
  </si>
  <si>
    <t>CL-715026062 EDENRED</t>
  </si>
  <si>
    <t>ESTACION ARLO</t>
  </si>
  <si>
    <t>FINIQUITO GREYCIY SARELI LOPEZ CHAVEZ</t>
  </si>
  <si>
    <t>POSM 13946094 OFFICE DEPOT</t>
  </si>
  <si>
    <t>B20000 OFFICE PRO</t>
  </si>
  <si>
    <t>NOMINA 5TA SEMANA JULIO 2026</t>
  </si>
  <si>
    <t>A34695 AUTO SERVICIO LOMA DORADA</t>
  </si>
  <si>
    <t>HIELO 23/JUL AL 31/JUL</t>
  </si>
  <si>
    <t>Comisiones bancarias BBVA Dolares</t>
  </si>
  <si>
    <t>MATERIALES USO INTERNO JULIO</t>
  </si>
  <si>
    <t>NABKC-5225 ETACION ARLO</t>
  </si>
  <si>
    <t>FAC1756 BORDADOS JONES</t>
  </si>
  <si>
    <t>H-03485  PASTELES GABY</t>
  </si>
  <si>
    <t>A34661 AUTO SERV LOMA DORADA</t>
  </si>
  <si>
    <t>1464-3280 7-ELEVEN / GARRAFONES AGUA</t>
  </si>
  <si>
    <t>JSW1478 COMSA COMBUSTIBLES MEX</t>
  </si>
  <si>
    <t>A26293 COMAPA</t>
  </si>
  <si>
    <t>PEAJES ING. ORLANDO MTY</t>
  </si>
  <si>
    <t>HIELO 14/JUL AL 23/JUL</t>
  </si>
  <si>
    <t>50% EVENTO DAHUA - HOLIDAY INN</t>
  </si>
  <si>
    <t>A34608 AUTO SERV LOMA DORADA</t>
  </si>
  <si>
    <t>A34626 AUTO SERV LOMA DORADA</t>
  </si>
  <si>
    <t>A34630 AUTO SERV LOMA DORADA</t>
  </si>
  <si>
    <t>A34629 AUTO SERV LOMA DORADA</t>
  </si>
  <si>
    <t>A34628 AUTO SERV LOMA DORADA</t>
  </si>
  <si>
    <t>A34631 AUTO SERV LOMA DORADA</t>
  </si>
  <si>
    <t>PEJAE MTY ING ORLANDO</t>
  </si>
  <si>
    <t>PROPOSAL 5-001497819 ISN Software MÃ©xico</t>
  </si>
  <si>
    <t>NOMINA 4TA SEMANA JULIO 2026</t>
  </si>
  <si>
    <t>EVENTO DAHUA / ANDREA IZQUIERDO</t>
  </si>
  <si>
    <t>A34607 AUTO SERV LOMA DORADA</t>
  </si>
  <si>
    <t>F786 - LAS PALMAS</t>
  </si>
  <si>
    <t>F-67535  AGUA BLANQUITA</t>
  </si>
  <si>
    <t>A34598 AUTO SERV LOMA DORADA</t>
  </si>
  <si>
    <t>CHIP NUEVO - TECNICO EN SISTEMAS</t>
  </si>
  <si>
    <t>F811 LAS PALMAS / GIS ROJO</t>
  </si>
  <si>
    <t>F783 - LAS PALMAS</t>
  </si>
  <si>
    <t>A34586 AUTO SERV LOMA DORADA</t>
  </si>
  <si>
    <t>ANGEL TEJADA GARCIA</t>
  </si>
  <si>
    <t>FAC738 FERRETERA LA NORMAL</t>
  </si>
  <si>
    <t>A221146105 SU BODEGA</t>
  </si>
  <si>
    <t>IXCRQ11678 BODEGA AURRERA</t>
  </si>
  <si>
    <t>PAGO TELCEL</t>
  </si>
  <si>
    <t>FREY-14001  VALLEN - GUANTES</t>
  </si>
  <si>
    <t>JUAN DE LA CRUZ - DISEÃ‘O PAGINA WEB</t>
  </si>
  <si>
    <t>F731 FERRET LA NORMAL</t>
  </si>
  <si>
    <t>Angel Tejeda - Anticipo, Curso de seguridad</t>
  </si>
  <si>
    <t>A34556 AUTO SERV LOMA DORADA</t>
  </si>
  <si>
    <t>A34558 AUTO SERV LOMA DORADA</t>
  </si>
  <si>
    <t>A34557 AUTO SERV LOMA DORADA</t>
  </si>
  <si>
    <t>A34559 AUTO SERV LOMA DORADA</t>
  </si>
  <si>
    <t>A34560 AUTO SERV LOMA DORADA</t>
  </si>
  <si>
    <t>3ER BIMESTRE IMSS</t>
  </si>
  <si>
    <t>Gonzalo Alarcon</t>
  </si>
  <si>
    <t>W40000819 COMBUSTIBLES DE ORIENTE</t>
  </si>
  <si>
    <t>A34541 AUTO SERV LOMA DORADA</t>
  </si>
  <si>
    <t>NOMINA 3ER SEMANA DE JULIO 2026</t>
  </si>
  <si>
    <t>A34525 AUTO SERV LOMA DORADA</t>
  </si>
  <si>
    <t>A34529 AUTO SERV LOMA DORADA</t>
  </si>
  <si>
    <t>CL8125002 Edenred</t>
  </si>
  <si>
    <t>FC2026-14211 CADENA DE SALUD MEDICS</t>
  </si>
  <si>
    <t>F-73174 HOME DEPOT</t>
  </si>
  <si>
    <t>A34530 AUTO SERV LOMA DORADA</t>
  </si>
  <si>
    <t>1579-3609 7-ELEVEN MEXICO</t>
  </si>
  <si>
    <t>A27 1144012 IBARRA - CAFE</t>
  </si>
  <si>
    <t>H03461 PASTELERIA GABY</t>
  </si>
  <si>
    <t>AXA SEGUROS REF:71254380149046868254</t>
  </si>
  <si>
    <t>IMPUESTO SOBRE NOMINAS</t>
  </si>
  <si>
    <t>NABKC5124 ESTACION ARLO</t>
  </si>
  <si>
    <t>STEREN -CONECTORES</t>
  </si>
  <si>
    <t>CORTESIA CTE SANMINA - CARNESFINAS MG</t>
  </si>
  <si>
    <t>LUZ INTEREY STORE</t>
  </si>
  <si>
    <t>I-2422927 PEAJES</t>
  </si>
  <si>
    <t>B81542 NAUTICA CAR WASH</t>
  </si>
  <si>
    <t>WBE21687 MULTI SER ALLENDE</t>
  </si>
  <si>
    <t>JSW1332 COMSA COMBUSTIBLES</t>
  </si>
  <si>
    <t>JCM29988 ESTACION DE SERV JIMENEZ</t>
  </si>
  <si>
    <t>F28622 FACTURAPI</t>
  </si>
  <si>
    <t>B81550 NAUTICA CAR WASH</t>
  </si>
  <si>
    <t>A34475 AUTO SERV LOMA DORADA</t>
  </si>
  <si>
    <t>A34476 AUTO SERV LOMA DORADA</t>
  </si>
  <si>
    <t>A34477 AUTO SERV LOMA DORADA</t>
  </si>
  <si>
    <t>NABKC5114 ESTACION ARLO</t>
  </si>
  <si>
    <t>A452 Raymundo Ruiz Albores - CapacitaciÃ³n Claudio Cruz</t>
  </si>
  <si>
    <t>F385 Fernando Javier Pancardo</t>
  </si>
  <si>
    <t>A1434622 UNICOM / IMPRESORA</t>
  </si>
  <si>
    <t>A34448 AUTO SERV LOMA DORADA</t>
  </si>
  <si>
    <t>A34449 AUTO SERV LOMA DORADA</t>
  </si>
  <si>
    <t>A34450 AUTO SERV LOMA DORADA</t>
  </si>
  <si>
    <t>A34451 AUTO SERV LOMA DORADA</t>
  </si>
  <si>
    <t>FREY139748 VALLEN</t>
  </si>
  <si>
    <t>JIMC-29950 ESTACION DE SERV JIMENEZ</t>
  </si>
  <si>
    <t>NOMINA 2DA SEMANA DE JULIO 2026</t>
  </si>
  <si>
    <t>INV-DF-MEX-7639431- STARLINK</t>
  </si>
  <si>
    <t>CL-8113024 EDENRED 28</t>
  </si>
  <si>
    <t>W19052 COMBUSTIBLES FLOHIN</t>
  </si>
  <si>
    <t>INTERESES DE 70 MIL</t>
  </si>
  <si>
    <t>A34424 AUTO SERV LOMA DORADA</t>
  </si>
  <si>
    <t>A34425 AUTO SERV LOMA DORADA</t>
  </si>
  <si>
    <t>F-71709 HOME DEPOT</t>
  </si>
  <si>
    <t>CITY CLUB F-477635</t>
  </si>
  <si>
    <t>F-2298931 PETROMAX</t>
  </si>
  <si>
    <t>F-559553 ISIGAZS GUADALUPE</t>
  </si>
  <si>
    <t>LPW4206 COMBUSTIBLES FLOHIN</t>
  </si>
  <si>
    <t>H03448 Y H03449 PASTELERIA GABY</t>
  </si>
  <si>
    <t>F726 LAS PALMAS</t>
  </si>
  <si>
    <t>F-809231 PETROMAX</t>
  </si>
  <si>
    <t>A34387 AUTO SERV LOMA DORADA</t>
  </si>
  <si>
    <t>B327 GRUPO AGL - CAPACITACION VTAS</t>
  </si>
  <si>
    <t>A34474 UTO SERV LOMA DORADA</t>
  </si>
  <si>
    <t>RY192828 UNITAM</t>
  </si>
  <si>
    <t>A34388 AUTO SERV LOMA DORADA</t>
  </si>
  <si>
    <t>A34386 AUTO SERV LOMA DORADA</t>
  </si>
  <si>
    <t>I-2423016 PEAJES</t>
  </si>
  <si>
    <t>HIELO</t>
  </si>
  <si>
    <t>A34385 AUTO SERV LOMA DORADA</t>
  </si>
  <si>
    <t>INGENIERIA</t>
  </si>
  <si>
    <t>CALIBRACION E INSPECCION Lan TEK IV</t>
  </si>
  <si>
    <t>Gasto de calibraciÃ³n de equipo de fibra</t>
  </si>
  <si>
    <t>F-5670264704 ARCA CONT - AGARRAFONES AGUA</t>
  </si>
  <si>
    <t>GOOGLE CLOUD</t>
  </si>
  <si>
    <t>CL-8107465 EDENRED SEM 27</t>
  </si>
  <si>
    <t>TELMEX JUNIO</t>
  </si>
  <si>
    <t>INMOBILIARIA ESTRUCTURAL - MTTO</t>
  </si>
  <si>
    <t>NOMINA 1ER SEMANA DE JULIO 2026</t>
  </si>
  <si>
    <t>RYF96457 LLANTAS SERNA</t>
  </si>
  <si>
    <t>REXAB-176154 PAQUEEXPRES</t>
  </si>
  <si>
    <t>HDI SEGUROS RASTREO:00566010066322026</t>
  </si>
  <si>
    <t>PAGO No.34 PREST. 9895643482</t>
  </si>
  <si>
    <t>PAGO No. 12 PREST. 960238711</t>
  </si>
  <si>
    <t>PAGO No. 12 PREST. 9602391798</t>
  </si>
  <si>
    <t>F-10318 PLAFORAMA</t>
  </si>
  <si>
    <t>FRE9024 TIENDAS FIX</t>
  </si>
  <si>
    <t>POSM1357369 OFFICE DEPOT</t>
  </si>
  <si>
    <t>F-10319 PLAFORAMA</t>
  </si>
  <si>
    <t>F-1662690 FERRETERA BLANQUITA</t>
  </si>
  <si>
    <t>A34335 AUTO SERV LOMA DORADA</t>
  </si>
  <si>
    <t>A343334 AUTO SERV LOMA DORADA</t>
  </si>
  <si>
    <t>F-13455422 CAPUFE</t>
  </si>
  <si>
    <t>F-4418 7-ELEVEN  / GARRAFONES AGUA</t>
  </si>
  <si>
    <t>F710327 STEEL MART</t>
  </si>
  <si>
    <t>HDI SEGUROS</t>
  </si>
  <si>
    <t>PAGO No. 10 Contrato 9623785641</t>
  </si>
  <si>
    <t>INTERESES MONEX JULIO 26</t>
  </si>
  <si>
    <t>CORTESIAS CLIENTES</t>
  </si>
  <si>
    <t xml:space="preserve"> REXFA1169 H HOLIDAY INN - CURSO SEGURIDAD</t>
  </si>
  <si>
    <t>GASTOS 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</si>
</sst>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3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8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24"/>
      <color theme="0"/>
      <name val="Aptos Slab SemiBold"/>
      <family val="2"/>
    </font>
    <font>
      <b/>
      <sz val="16"/>
      <color theme="0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48"/>
      <color theme="7" tint="0.79998168889431442"/>
      <name val="Aptos Narrow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45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4">
    <xf numFmtId="0" fontId="0" fillId="0" borderId="0" xfId="0"/>
    <xf numFmtId="0" fontId="0" fillId="0" borderId="10" xfId="0" applyBorder="1"/>
    <xf numFmtId="14" fontId="0" fillId="0" borderId="10" xfId="0" applyNumberFormat="1" applyBorder="1"/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44" fontId="0" fillId="0" borderId="10" xfId="1" applyFont="1" applyBorder="1"/>
    <xf numFmtId="0" fontId="18" fillId="33" borderId="10" xfId="0" applyFont="1" applyFill="1" applyBorder="1" applyAlignment="1">
      <alignment horizontal="center" vertical="center"/>
    </xf>
    <xf numFmtId="44" fontId="0" fillId="0" borderId="0" xfId="0" applyNumberFormat="1"/>
    <xf numFmtId="44" fontId="16" fillId="0" borderId="0" xfId="0" applyNumberFormat="1" applyFont="1"/>
    <xf numFmtId="0" fontId="13" fillId="34" borderId="12" xfId="0" applyFont="1" applyFill="1" applyBorder="1" applyAlignment="1">
      <alignment horizontal="center" vertical="center"/>
    </xf>
    <xf numFmtId="0" fontId="13" fillId="34" borderId="13" xfId="0" applyFont="1" applyFill="1" applyBorder="1" applyAlignment="1">
      <alignment horizontal="center" vertical="center"/>
    </xf>
    <xf numFmtId="0" fontId="20" fillId="0" borderId="14" xfId="0" applyFont="1" applyBorder="1"/>
    <xf numFmtId="44" fontId="0" fillId="0" borderId="15" xfId="43" applyFont="1" applyBorder="1"/>
    <xf numFmtId="44" fontId="0" fillId="0" borderId="16" xfId="43" applyFont="1" applyBorder="1"/>
    <xf numFmtId="44" fontId="0" fillId="0" borderId="17" xfId="43" applyFont="1" applyBorder="1"/>
    <xf numFmtId="44" fontId="20" fillId="0" borderId="15" xfId="0" applyNumberFormat="1" applyFont="1" applyBorder="1"/>
    <xf numFmtId="44" fontId="0" fillId="0" borderId="18" xfId="43" applyFont="1" applyBorder="1"/>
    <xf numFmtId="0" fontId="0" fillId="0" borderId="15" xfId="0" applyBorder="1"/>
    <xf numFmtId="0" fontId="0" fillId="35" borderId="16" xfId="0" applyFill="1" applyBorder="1"/>
    <xf numFmtId="44" fontId="0" fillId="0" borderId="16" xfId="1" applyFont="1" applyBorder="1"/>
    <xf numFmtId="44" fontId="0" fillId="0" borderId="15" xfId="1" applyFont="1" applyBorder="1"/>
    <xf numFmtId="0" fontId="20" fillId="0" borderId="19" xfId="0" applyFont="1" applyBorder="1"/>
    <xf numFmtId="44" fontId="0" fillId="0" borderId="20" xfId="43" applyFont="1" applyBorder="1"/>
    <xf numFmtId="44" fontId="0" fillId="0" borderId="21" xfId="43" applyFont="1" applyBorder="1"/>
    <xf numFmtId="44" fontId="0" fillId="0" borderId="20" xfId="1" applyFont="1" applyBorder="1"/>
    <xf numFmtId="44" fontId="0" fillId="0" borderId="21" xfId="1" applyFont="1" applyBorder="1"/>
    <xf numFmtId="0" fontId="0" fillId="0" borderId="20" xfId="0" applyBorder="1"/>
    <xf numFmtId="0" fontId="0" fillId="0" borderId="21" xfId="0" applyBorder="1"/>
    <xf numFmtId="0" fontId="21" fillId="0" borderId="22" xfId="0" applyFont="1" applyBorder="1" applyAlignment="1">
      <alignment vertical="center"/>
    </xf>
    <xf numFmtId="44" fontId="16" fillId="0" borderId="23" xfId="43" applyFont="1" applyFill="1" applyBorder="1" applyAlignment="1">
      <alignment vertical="center"/>
    </xf>
    <xf numFmtId="44" fontId="16" fillId="0" borderId="24" xfId="43" applyFont="1" applyFill="1" applyBorder="1" applyAlignment="1">
      <alignment vertical="center"/>
    </xf>
    <xf numFmtId="44" fontId="0" fillId="0" borderId="15" xfId="43" applyFont="1" applyFill="1" applyBorder="1"/>
    <xf numFmtId="44" fontId="0" fillId="0" borderId="16" xfId="43" applyFont="1" applyFill="1" applyBorder="1"/>
    <xf numFmtId="44" fontId="0" fillId="0" borderId="17" xfId="43" applyFont="1" applyFill="1" applyBorder="1"/>
    <xf numFmtId="44" fontId="0" fillId="0" borderId="18" xfId="43" applyFont="1" applyFill="1" applyBorder="1"/>
    <xf numFmtId="0" fontId="0" fillId="0" borderId="16" xfId="0" applyBorder="1"/>
    <xf numFmtId="44" fontId="0" fillId="0" borderId="16" xfId="1" applyFont="1" applyFill="1" applyBorder="1"/>
    <xf numFmtId="44" fontId="0" fillId="0" borderId="15" xfId="1" applyFont="1" applyFill="1" applyBorder="1"/>
    <xf numFmtId="44" fontId="0" fillId="0" borderId="20" xfId="43" applyFont="1" applyFill="1" applyBorder="1"/>
    <xf numFmtId="44" fontId="0" fillId="0" borderId="21" xfId="43" applyFont="1" applyFill="1" applyBorder="1"/>
    <xf numFmtId="44" fontId="0" fillId="0" borderId="20" xfId="1" applyFont="1" applyFill="1" applyBorder="1"/>
    <xf numFmtId="44" fontId="0" fillId="0" borderId="21" xfId="1" applyFont="1" applyFill="1" applyBorder="1"/>
    <xf numFmtId="44" fontId="24" fillId="0" borderId="23" xfId="43" applyFont="1" applyFill="1" applyBorder="1" applyAlignment="1">
      <alignment vertical="center"/>
    </xf>
    <xf numFmtId="44" fontId="24" fillId="0" borderId="24" xfId="43" applyFont="1" applyFill="1" applyBorder="1" applyAlignment="1">
      <alignment vertical="center"/>
    </xf>
    <xf numFmtId="44" fontId="14" fillId="0" borderId="0" xfId="0" applyNumberFormat="1" applyFont="1"/>
    <xf numFmtId="0" fontId="24" fillId="37" borderId="26" xfId="0" applyFont="1" applyFill="1" applyBorder="1"/>
    <xf numFmtId="44" fontId="24" fillId="37" borderId="27" xfId="1" applyFont="1" applyFill="1" applyBorder="1"/>
    <xf numFmtId="0" fontId="24" fillId="36" borderId="28" xfId="0" applyFont="1" applyFill="1" applyBorder="1" applyAlignment="1">
      <alignment horizontal="center" vertical="center"/>
    </xf>
    <xf numFmtId="0" fontId="24" fillId="36" borderId="29" xfId="0" applyFont="1" applyFill="1" applyBorder="1" applyAlignment="1">
      <alignment horizontal="center" vertical="center"/>
    </xf>
    <xf numFmtId="0" fontId="27" fillId="0" borderId="25" xfId="0" applyFont="1" applyBorder="1"/>
    <xf numFmtId="44" fontId="27" fillId="0" borderId="10" xfId="1" applyFont="1" applyBorder="1"/>
    <xf numFmtId="0" fontId="27" fillId="0" borderId="10" xfId="0" applyFont="1" applyBorder="1"/>
    <xf numFmtId="0" fontId="28" fillId="0" borderId="10" xfId="0" applyFont="1" applyBorder="1"/>
    <xf numFmtId="0" fontId="17" fillId="38" borderId="0" xfId="0" applyFont="1" applyFill="1"/>
    <xf numFmtId="0" fontId="13" fillId="34" borderId="33" xfId="0" applyFont="1" applyFill="1" applyBorder="1" applyAlignment="1">
      <alignment horizontal="center" vertical="center"/>
    </xf>
    <xf numFmtId="0" fontId="13" fillId="34" borderId="34" xfId="0" applyFont="1" applyFill="1" applyBorder="1" applyAlignment="1">
      <alignment horizontal="center" vertical="center"/>
    </xf>
    <xf numFmtId="0" fontId="13" fillId="34" borderId="35" xfId="0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44" fontId="30" fillId="0" borderId="0" xfId="43" applyFont="1" applyFill="1" applyBorder="1" applyAlignment="1">
      <alignment vertical="center"/>
    </xf>
    <xf numFmtId="44" fontId="30" fillId="0" borderId="23" xfId="43" applyFont="1" applyFill="1" applyBorder="1" applyAlignment="1">
      <alignment vertical="center"/>
    </xf>
    <xf numFmtId="44" fontId="30" fillId="0" borderId="0" xfId="0" applyNumberFormat="1" applyFont="1" applyAlignment="1">
      <alignment vertical="center"/>
    </xf>
    <xf numFmtId="44" fontId="16" fillId="0" borderId="36" xfId="0" applyNumberFormat="1" applyFont="1" applyBorder="1" applyAlignment="1">
      <alignment vertical="center"/>
    </xf>
    <xf numFmtId="44" fontId="16" fillId="0" borderId="23" xfId="0" applyNumberFormat="1" applyFont="1" applyBorder="1" applyAlignment="1">
      <alignment vertical="center"/>
    </xf>
    <xf numFmtId="44" fontId="16" fillId="0" borderId="37" xfId="0" applyNumberFormat="1" applyFont="1" applyBorder="1" applyAlignment="1">
      <alignment vertical="center"/>
    </xf>
    <xf numFmtId="0" fontId="13" fillId="34" borderId="23" xfId="0" applyFont="1" applyFill="1" applyBorder="1" applyAlignment="1">
      <alignment horizontal="center" vertical="center"/>
    </xf>
    <xf numFmtId="44" fontId="16" fillId="0" borderId="0" xfId="1" applyFont="1"/>
    <xf numFmtId="44" fontId="32" fillId="39" borderId="30" xfId="1" applyFont="1" applyFill="1" applyBorder="1" applyAlignment="1">
      <alignment horizontal="center" vertical="center"/>
    </xf>
    <xf numFmtId="9" fontId="0" fillId="0" borderId="0" xfId="44" applyFont="1"/>
    <xf numFmtId="0" fontId="0" fillId="40" borderId="0" xfId="0" applyFill="1"/>
    <xf numFmtId="0" fontId="33" fillId="40" borderId="0" xfId="0" applyFont="1" applyFill="1" applyAlignment="1">
      <alignment vertical="center"/>
    </xf>
    <xf numFmtId="0" fontId="0" fillId="40" borderId="0" xfId="0" applyFill="1" applyAlignment="1">
      <alignment horizontal="left" vertical="center" indent="1"/>
    </xf>
    <xf numFmtId="0" fontId="16" fillId="40" borderId="0" xfId="0" applyFont="1" applyFill="1" applyAlignment="1">
      <alignment horizontal="left" vertical="center" indent="1"/>
    </xf>
    <xf numFmtId="0" fontId="34" fillId="40" borderId="0" xfId="0" applyFont="1" applyFill="1"/>
    <xf numFmtId="14" fontId="0" fillId="0" borderId="10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34" borderId="33" xfId="0" applyFont="1" applyFill="1" applyBorder="1" applyAlignment="1">
      <alignment horizontal="center" vertical="center"/>
    </xf>
    <xf numFmtId="0" fontId="32" fillId="39" borderId="10" xfId="0" applyFont="1" applyFill="1" applyBorder="1" applyAlignment="1">
      <alignment horizontal="center" vertical="center"/>
    </xf>
    <xf numFmtId="44" fontId="28" fillId="0" borderId="10" xfId="0" applyNumberFormat="1" applyFont="1" applyBorder="1"/>
    <xf numFmtId="10" fontId="0" fillId="0" borderId="10" xfId="44" applyNumberFormat="1" applyFont="1" applyBorder="1" applyAlignment="1">
      <alignment horizontal="center"/>
    </xf>
    <xf numFmtId="8" fontId="0" fillId="40" borderId="0" xfId="0" applyNumberFormat="1" applyFill="1"/>
    <xf numFmtId="10" fontId="0" fillId="40" borderId="0" xfId="0" applyNumberFormat="1" applyFill="1"/>
    <xf numFmtId="44" fontId="0" fillId="0" borderId="12" xfId="1" applyFont="1" applyBorder="1"/>
    <xf numFmtId="44" fontId="16" fillId="0" borderId="23" xfId="0" applyNumberFormat="1" applyFont="1" applyBorder="1"/>
    <xf numFmtId="0" fontId="25" fillId="41" borderId="22" xfId="0" applyFont="1" applyFill="1" applyBorder="1" applyAlignment="1">
      <alignment vertical="center"/>
    </xf>
    <xf numFmtId="44" fontId="16" fillId="41" borderId="23" xfId="43" applyFont="1" applyFill="1" applyBorder="1" applyAlignment="1">
      <alignment vertical="center"/>
    </xf>
    <xf numFmtId="44" fontId="16" fillId="41" borderId="24" xfId="43" applyFont="1" applyFill="1" applyBorder="1" applyAlignment="1">
      <alignment vertical="center"/>
    </xf>
    <xf numFmtId="44" fontId="16" fillId="0" borderId="0" xfId="0" applyNumberFormat="1" applyFont="1" applyAlignment="1">
      <alignment vertical="center"/>
    </xf>
    <xf numFmtId="0" fontId="35" fillId="0" borderId="31" xfId="0" applyFont="1" applyBorder="1" applyAlignment="1">
      <alignment horizontal="center" vertical="center"/>
    </xf>
    <xf numFmtId="0" fontId="35" fillId="0" borderId="22" xfId="0" applyFont="1" applyBorder="1" applyAlignment="1">
      <alignment horizontal="center" vertical="center"/>
    </xf>
    <xf numFmtId="0" fontId="35" fillId="0" borderId="32" xfId="0" applyFont="1" applyBorder="1" applyAlignment="1">
      <alignment horizontal="center" vertical="center"/>
    </xf>
    <xf numFmtId="14" fontId="0" fillId="0" borderId="29" xfId="0" applyNumberFormat="1" applyBorder="1"/>
    <xf numFmtId="0" fontId="0" fillId="0" borderId="29" xfId="0" applyBorder="1"/>
    <xf numFmtId="44" fontId="0" fillId="0" borderId="29" xfId="1" applyFont="1" applyBorder="1"/>
    <xf numFmtId="0" fontId="0" fillId="0" borderId="29" xfId="0" applyBorder="1" applyAlignment="1">
      <alignment horizontal="center"/>
    </xf>
    <xf numFmtId="14" fontId="0" fillId="0" borderId="27" xfId="0" applyNumberFormat="1" applyBorder="1"/>
    <xf numFmtId="0" fontId="0" fillId="0" borderId="27" xfId="0" applyBorder="1"/>
    <xf numFmtId="44" fontId="0" fillId="0" borderId="27" xfId="1" applyFont="1" applyBorder="1"/>
    <xf numFmtId="0" fontId="0" fillId="0" borderId="27" xfId="0" applyBorder="1" applyAlignment="1">
      <alignment horizontal="center"/>
    </xf>
    <xf numFmtId="14" fontId="0" fillId="0" borderId="13" xfId="0" applyNumberFormat="1" applyBorder="1"/>
    <xf numFmtId="0" fontId="0" fillId="0" borderId="13" xfId="0" applyBorder="1"/>
    <xf numFmtId="0" fontId="0" fillId="0" borderId="13" xfId="0" applyBorder="1" applyAlignment="1">
      <alignment horizontal="center"/>
    </xf>
    <xf numFmtId="44" fontId="16" fillId="42" borderId="13" xfId="1" applyFont="1" applyFill="1" applyBorder="1"/>
    <xf numFmtId="0" fontId="31" fillId="39" borderId="39" xfId="0" applyFont="1" applyFill="1" applyBorder="1" applyAlignment="1">
      <alignment horizontal="center" vertical="center"/>
    </xf>
    <xf numFmtId="0" fontId="31" fillId="39" borderId="0" xfId="0" applyFont="1" applyFill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9" fillId="0" borderId="32" xfId="0" applyFont="1" applyBorder="1" applyAlignment="1">
      <alignment horizontal="center" vertical="center"/>
    </xf>
    <xf numFmtId="0" fontId="29" fillId="0" borderId="38" xfId="0" applyFont="1" applyBorder="1" applyAlignment="1">
      <alignment horizontal="center" vertical="center"/>
    </xf>
    <xf numFmtId="14" fontId="0" fillId="0" borderId="10" xfId="0" applyNumberFormat="1" applyBorder="1" applyAlignment="1">
      <alignment horizontal="center"/>
    </xf>
    <xf numFmtId="0" fontId="32" fillId="33" borderId="10" xfId="0" applyFont="1" applyFill="1" applyBorder="1" applyAlignment="1">
      <alignment horizontal="center" vertical="center"/>
    </xf>
    <xf numFmtId="0" fontId="36" fillId="38" borderId="11" xfId="0" applyFont="1" applyFill="1" applyBorder="1" applyAlignment="1">
      <alignment horizontal="center" vertical="center"/>
    </xf>
    <xf numFmtId="0" fontId="36" fillId="38" borderId="0" xfId="0" applyFont="1" applyFill="1" applyAlignment="1">
      <alignment horizontal="center" vertical="center"/>
    </xf>
    <xf numFmtId="44" fontId="16" fillId="42" borderId="0" xfId="0" applyNumberFormat="1" applyFont="1" applyFill="1"/>
    <xf numFmtId="9" fontId="32" fillId="39" borderId="30" xfId="1" applyNumberFormat="1" applyFont="1" applyFill="1" applyBorder="1" applyAlignment="1">
      <alignment horizontal="center" vertical="center"/>
    </xf>
  </cellXfs>
  <cellStyles count="45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oneda" xfId="1" builtinId="4"/>
    <cellStyle name="Moneda 2" xfId="43" xr:uid="{9FA24411-5E00-4EB0-A4FA-92F454726BA5}"/>
    <cellStyle name="Neutral" xfId="9" builtinId="28" customBuiltin="1"/>
    <cellStyle name="Normal" xfId="0" builtinId="0"/>
    <cellStyle name="Notas" xfId="16" builtinId="10" customBuiltin="1"/>
    <cellStyle name="Porcentaje" xfId="44" builtinId="5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Distribución de Gastos Operativos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RESUMEN!$S$2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6BA-4C18-A26C-17D8E2551C4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6BA-4C18-A26C-17D8E2551C4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6BA-4C18-A26C-17D8E2551C4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6BA-4C18-A26C-17D8E2551C4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6BA-4C18-A26C-17D8E2551C4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6BA-4C18-A26C-17D8E2551C4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6BA-4C18-A26C-17D8E2551C4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6BA-4C18-A26C-17D8E2551C4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F6BA-4C18-A26C-17D8E2551C4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F6BA-4C18-A26C-17D8E2551C4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F6BA-4C18-A26C-17D8E2551C4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F6BA-4C18-A26C-17D8E2551C4F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F6BA-4C18-A26C-17D8E2551C4F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F6BA-4C18-A26C-17D8E2551C4F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F6BA-4C18-A26C-17D8E2551C4F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F6BA-4C18-A26C-17D8E2551C4F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F6BA-4C18-A26C-17D8E2551C4F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F6BA-4C18-A26C-17D8E2551C4F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F6BA-4C18-A26C-17D8E2551C4F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F6BA-4C18-A26C-17D8E2551C4F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F6BA-4C18-A26C-17D8E2551C4F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F6BA-4C18-A26C-17D8E2551C4F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F6BA-4C18-A26C-17D8E2551C4F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F6BA-4C18-A26C-17D8E2551C4F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F6BA-4C18-A26C-17D8E2551C4F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F6BA-4C18-A26C-17D8E2551C4F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F6BA-4C18-A26C-17D8E2551C4F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F6BA-4C18-A26C-17D8E2551C4F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F6BA-4C18-A26C-17D8E2551C4F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F6BA-4C18-A26C-17D8E2551C4F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F6BA-4C18-A26C-17D8E2551C4F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F6BA-4C18-A26C-17D8E2551C4F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F6BA-4C18-A26C-17D8E2551C4F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RESUMEN!$R$3:$R$36</c:f>
              <c:strCache>
                <c:ptCount val="34"/>
                <c:pt idx="0">
                  <c:v>SALARIOS</c:v>
                </c:pt>
                <c:pt idx="1">
                  <c:v>IMSS</c:v>
                </c:pt>
                <c:pt idx="2">
                  <c:v>PAGOS DE CREDITOS BANCARIOS</c:v>
                </c:pt>
                <c:pt idx="3">
                  <c:v>COMISION DE ASESOR</c:v>
                </c:pt>
                <c:pt idx="4">
                  <c:v>COMBUSTIBLE</c:v>
                </c:pt>
                <c:pt idx="5">
                  <c:v>SEGUROS</c:v>
                </c:pt>
                <c:pt idx="6">
                  <c:v>PUBLICIDAD-EVENTOS</c:v>
                </c:pt>
                <c:pt idx="7">
                  <c:v>MANTENIMIENTO DE EDIFICIO</c:v>
                </c:pt>
                <c:pt idx="8">
                  <c:v>PAGO DE IMPUESTOS</c:v>
                </c:pt>
                <c:pt idx="9">
                  <c:v>ISN 3%</c:v>
                </c:pt>
                <c:pt idx="10">
                  <c:v>MENSUALIDAD DE AUTO</c:v>
                </c:pt>
                <c:pt idx="11">
                  <c:v>PAGO DE SERVICIOS</c:v>
                </c:pt>
                <c:pt idx="12">
                  <c:v>GENERAL</c:v>
                </c:pt>
                <c:pt idx="13">
                  <c:v>SOFTWARE</c:v>
                </c:pt>
                <c:pt idx="14">
                  <c:v>GASTOS DE VIAJE</c:v>
                </c:pt>
                <c:pt idx="15">
                  <c:v>HERRAMIENTAS</c:v>
                </c:pt>
                <c:pt idx="16">
                  <c:v>ACTIVO FIJO</c:v>
                </c:pt>
                <c:pt idx="17">
                  <c:v>MANTENIMIENTO DE AUTO</c:v>
                </c:pt>
                <c:pt idx="18">
                  <c:v>PAPELERIA</c:v>
                </c:pt>
                <c:pt idx="19">
                  <c:v>MOBILIARIO Y EQUIPO</c:v>
                </c:pt>
                <c:pt idx="20">
                  <c:v>CAPACITACION DE RH</c:v>
                </c:pt>
                <c:pt idx="21">
                  <c:v>ENGOMADOS</c:v>
                </c:pt>
                <c:pt idx="22">
                  <c:v>UNIFORMES</c:v>
                </c:pt>
                <c:pt idx="23">
                  <c:v>HONORARIOS</c:v>
                </c:pt>
                <c:pt idx="24">
                  <c:v>COMISIONES</c:v>
                </c:pt>
                <c:pt idx="25">
                  <c:v>EQUIPO DE PROTECCION PERSONAL</c:v>
                </c:pt>
                <c:pt idx="26">
                  <c:v>CAFETERIA</c:v>
                </c:pt>
                <c:pt idx="27">
                  <c:v>INSUMOS DE LIMPIEZA</c:v>
                </c:pt>
                <c:pt idx="28">
                  <c:v>PEAJES</c:v>
                </c:pt>
                <c:pt idx="29">
                  <c:v>COMISIONES DESPENSA</c:v>
                </c:pt>
                <c:pt idx="30">
                  <c:v>MENSAJERIA Y PAQUETERIA</c:v>
                </c:pt>
                <c:pt idx="31">
                  <c:v>PAQUETERIAS</c:v>
                </c:pt>
                <c:pt idx="32">
                  <c:v>REPARACION Y MANTENIMIENTO</c:v>
                </c:pt>
                <c:pt idx="33">
                  <c:v>REPARACION Y MANTENIMIENTO</c:v>
                </c:pt>
              </c:strCache>
            </c:strRef>
          </c:cat>
          <c:val>
            <c:numRef>
              <c:f>RESUMEN!$S$3:$S$36</c:f>
              <c:numCache>
                <c:formatCode>General</c:formatCode>
                <c:ptCount val="34"/>
                <c:pt idx="0">
                  <c:v>3773681.32</c:v>
                </c:pt>
                <c:pt idx="1">
                  <c:v>619757.92000000004</c:v>
                </c:pt>
                <c:pt idx="2">
                  <c:v>450509.03</c:v>
                </c:pt>
                <c:pt idx="3">
                  <c:v>329162.12</c:v>
                </c:pt>
                <c:pt idx="4">
                  <c:v>207819.21</c:v>
                </c:pt>
                <c:pt idx="5">
                  <c:v>160560.95000000001</c:v>
                </c:pt>
                <c:pt idx="6">
                  <c:v>171289.84</c:v>
                </c:pt>
                <c:pt idx="7">
                  <c:v>123987.3</c:v>
                </c:pt>
                <c:pt idx="8">
                  <c:v>93318</c:v>
                </c:pt>
                <c:pt idx="9">
                  <c:v>99792</c:v>
                </c:pt>
                <c:pt idx="10">
                  <c:v>106237.73</c:v>
                </c:pt>
                <c:pt idx="11">
                  <c:v>82484.429999999993</c:v>
                </c:pt>
                <c:pt idx="12">
                  <c:v>60985.53</c:v>
                </c:pt>
                <c:pt idx="13">
                  <c:v>52103.05</c:v>
                </c:pt>
                <c:pt idx="14">
                  <c:v>43381.87</c:v>
                </c:pt>
                <c:pt idx="15">
                  <c:v>45213.1</c:v>
                </c:pt>
                <c:pt idx="16">
                  <c:v>40583.11</c:v>
                </c:pt>
                <c:pt idx="17">
                  <c:v>59272.74</c:v>
                </c:pt>
                <c:pt idx="18">
                  <c:v>35187.19</c:v>
                </c:pt>
                <c:pt idx="19">
                  <c:v>31008.54</c:v>
                </c:pt>
                <c:pt idx="20">
                  <c:v>26063.98</c:v>
                </c:pt>
                <c:pt idx="21">
                  <c:v>23085</c:v>
                </c:pt>
                <c:pt idx="22">
                  <c:v>22609.05</c:v>
                </c:pt>
                <c:pt idx="23">
                  <c:v>17536.07</c:v>
                </c:pt>
                <c:pt idx="24">
                  <c:v>20113.97</c:v>
                </c:pt>
                <c:pt idx="25">
                  <c:v>17441.009999999998</c:v>
                </c:pt>
                <c:pt idx="26">
                  <c:v>13893.57</c:v>
                </c:pt>
                <c:pt idx="27">
                  <c:v>10090.09</c:v>
                </c:pt>
                <c:pt idx="28">
                  <c:v>7656.4</c:v>
                </c:pt>
                <c:pt idx="29">
                  <c:v>6878.54</c:v>
                </c:pt>
                <c:pt idx="30">
                  <c:v>3444.08</c:v>
                </c:pt>
                <c:pt idx="31">
                  <c:v>174</c:v>
                </c:pt>
                <c:pt idx="32">
                  <c:v>300</c:v>
                </c:pt>
                <c:pt idx="33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05-4D7D-8FC0-2DD901C216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800" b="1"/>
              <a:t>GASTOS INTEREY STORE 2025-2026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'GASTOS TIENDA 2026'!$A$43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5"/>
              <c:layout>
                <c:manualLayout>
                  <c:x val="-2.4644693411175186E-2"/>
                  <c:y val="-6.082193688849133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CCD-48AE-98AB-FFBEEF17F6B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'GASTOS TIENDA 2026'!$B$42:$M$42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'GASTOS TIENDA 2026'!$B$43:$M$43</c:f>
              <c:numCache>
                <c:formatCode>_("$"* #,##0.00_);_("$"* \(#,##0.00\);_("$"* "-"??_);_(@_)</c:formatCode>
                <c:ptCount val="12"/>
                <c:pt idx="0">
                  <c:v>65804.56</c:v>
                </c:pt>
                <c:pt idx="1">
                  <c:v>83307.16</c:v>
                </c:pt>
                <c:pt idx="2">
                  <c:v>65984.330000000016</c:v>
                </c:pt>
                <c:pt idx="3">
                  <c:v>93277.62999999999</c:v>
                </c:pt>
                <c:pt idx="4">
                  <c:v>99297.89</c:v>
                </c:pt>
                <c:pt idx="5">
                  <c:v>57073.39</c:v>
                </c:pt>
                <c:pt idx="6">
                  <c:v>71780.7</c:v>
                </c:pt>
                <c:pt idx="7">
                  <c:v>91885.569999999992</c:v>
                </c:pt>
                <c:pt idx="8">
                  <c:v>91717.3</c:v>
                </c:pt>
                <c:pt idx="9">
                  <c:v>79515.460000000006</c:v>
                </c:pt>
                <c:pt idx="10">
                  <c:v>86961.4</c:v>
                </c:pt>
                <c:pt idx="11">
                  <c:v>89835.46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ED-420D-B9B0-C6EA2252BB43}"/>
            </c:ext>
          </c:extLst>
        </c:ser>
        <c:ser>
          <c:idx val="1"/>
          <c:order val="1"/>
          <c:tx>
            <c:strRef>
              <c:f>'GASTOS TIENDA 2026'!$A$44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'GASTOS TIENDA 2026'!$B$42:$M$42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'GASTOS TIENDA 2026'!$B$44:$M$44</c:f>
              <c:numCache>
                <c:formatCode>_("$"* #,##0.00_);_("$"* \(#,##0.00\);_("$"* "-"??_);_(@_)</c:formatCode>
                <c:ptCount val="12"/>
                <c:pt idx="0">
                  <c:v>98085.65</c:v>
                </c:pt>
                <c:pt idx="1">
                  <c:v>104434.14000000001</c:v>
                </c:pt>
                <c:pt idx="2">
                  <c:v>86532.88</c:v>
                </c:pt>
                <c:pt idx="3">
                  <c:v>74375.320000000007</c:v>
                </c:pt>
                <c:pt idx="4">
                  <c:v>66678.87</c:v>
                </c:pt>
                <c:pt idx="5">
                  <c:v>42961.880000000005</c:v>
                </c:pt>
                <c:pt idx="6">
                  <c:v>108010.52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ED-420D-B9B0-C6EA2252BB4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25458016"/>
        <c:axId val="1025459456"/>
      </c:lineChart>
      <c:catAx>
        <c:axId val="1025458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25459456"/>
        <c:crosses val="autoZero"/>
        <c:auto val="1"/>
        <c:lblAlgn val="ctr"/>
        <c:lblOffset val="100"/>
        <c:noMultiLvlLbl val="0"/>
      </c:catAx>
      <c:valAx>
        <c:axId val="1025459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2545801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b="1"/>
              <a:t>GASTOS VS UTILIDAD INTEREY STORE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'GASTOS TIENDA 2026'!$A$44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'GASTOS TIENDA 2026'!$B$42:$M$42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'GASTOS TIENDA 2026'!$B$44:$M$44</c:f>
              <c:numCache>
                <c:formatCode>_("$"* #,##0.00_);_("$"* \(#,##0.00\);_("$"* "-"??_);_(@_)</c:formatCode>
                <c:ptCount val="12"/>
                <c:pt idx="0">
                  <c:v>98085.65</c:v>
                </c:pt>
                <c:pt idx="1">
                  <c:v>104434.14000000001</c:v>
                </c:pt>
                <c:pt idx="2">
                  <c:v>86532.88</c:v>
                </c:pt>
                <c:pt idx="3">
                  <c:v>74375.320000000007</c:v>
                </c:pt>
                <c:pt idx="4">
                  <c:v>66678.87</c:v>
                </c:pt>
                <c:pt idx="5">
                  <c:v>42961.880000000005</c:v>
                </c:pt>
                <c:pt idx="6">
                  <c:v>108010.52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ED-420D-B9B0-C6EA2252BB43}"/>
            </c:ext>
          </c:extLst>
        </c:ser>
        <c:ser>
          <c:idx val="1"/>
          <c:order val="1"/>
          <c:tx>
            <c:strRef>
              <c:f>'GASTOS TIENDA 2026'!$A$45</c:f>
              <c:strCache>
                <c:ptCount val="1"/>
                <c:pt idx="0">
                  <c:v>UTILIDAD  2026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'GASTOS TIENDA 2026'!$B$42:$M$42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'GASTOS TIENDA 2026'!$B$45:$M$45</c:f>
              <c:numCache>
                <c:formatCode>_("$"* #,##0.00_);_("$"* \(#,##0.00\);_("$"* "-"??_);_(@_)</c:formatCode>
                <c:ptCount val="12"/>
                <c:pt idx="0">
                  <c:v>76766.16</c:v>
                </c:pt>
                <c:pt idx="1">
                  <c:v>78871.490000000005</c:v>
                </c:pt>
                <c:pt idx="2">
                  <c:v>72828.240000000005</c:v>
                </c:pt>
                <c:pt idx="3">
                  <c:v>37490.92</c:v>
                </c:pt>
                <c:pt idx="4">
                  <c:v>39887.94</c:v>
                </c:pt>
                <c:pt idx="5">
                  <c:v>55365.91</c:v>
                </c:pt>
                <c:pt idx="6">
                  <c:v>63056.33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ED-420D-B9B0-C6EA2252BB4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25458016"/>
        <c:axId val="1025459456"/>
      </c:lineChart>
      <c:catAx>
        <c:axId val="1025458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25459456"/>
        <c:crosses val="autoZero"/>
        <c:auto val="1"/>
        <c:lblAlgn val="ctr"/>
        <c:lblOffset val="100"/>
        <c:noMultiLvlLbl val="0"/>
      </c:catAx>
      <c:valAx>
        <c:axId val="1025459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2545801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Distribución de Gastos Operativos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RESUMEN!$S$2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E1E-4044-9B80-1EABC23B37B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E1E-4044-9B80-1EABC23B37B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E1E-4044-9B80-1EABC23B37B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E1E-4044-9B80-1EABC23B37B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E1E-4044-9B80-1EABC23B37B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E1E-4044-9B80-1EABC23B37B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E1E-4044-9B80-1EABC23B37B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E1E-4044-9B80-1EABC23B37B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1E1E-4044-9B80-1EABC23B37B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1E1E-4044-9B80-1EABC23B37B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1E1E-4044-9B80-1EABC23B37B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1E1E-4044-9B80-1EABC23B37BC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1E1E-4044-9B80-1EABC23B37BC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1E1E-4044-9B80-1EABC23B37BC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1E1E-4044-9B80-1EABC23B37BC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1E1E-4044-9B80-1EABC23B37BC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1E1E-4044-9B80-1EABC23B37BC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1E1E-4044-9B80-1EABC23B37BC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1E1E-4044-9B80-1EABC23B37BC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1E1E-4044-9B80-1EABC23B37BC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1E1E-4044-9B80-1EABC23B37BC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1E1E-4044-9B80-1EABC23B37BC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1E1E-4044-9B80-1EABC23B37BC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1E1E-4044-9B80-1EABC23B37BC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1E1E-4044-9B80-1EABC23B37BC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1E1E-4044-9B80-1EABC23B37BC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1E1E-4044-9B80-1EABC23B37BC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1E1E-4044-9B80-1EABC23B37BC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1E1E-4044-9B80-1EABC23B37BC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1E1E-4044-9B80-1EABC23B37BC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1E1E-4044-9B80-1EABC23B37BC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1E1E-4044-9B80-1EABC23B37BC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1E1E-4044-9B80-1EABC23B37BC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RESUMEN!$R$3:$R$36</c:f>
              <c:strCache>
                <c:ptCount val="34"/>
                <c:pt idx="0">
                  <c:v>SALARIOS</c:v>
                </c:pt>
                <c:pt idx="1">
                  <c:v>IMSS</c:v>
                </c:pt>
                <c:pt idx="2">
                  <c:v>PAGOS DE CREDITOS BANCARIOS</c:v>
                </c:pt>
                <c:pt idx="3">
                  <c:v>COMISION DE ASESOR</c:v>
                </c:pt>
                <c:pt idx="4">
                  <c:v>COMBUSTIBLE</c:v>
                </c:pt>
                <c:pt idx="5">
                  <c:v>SEGUROS</c:v>
                </c:pt>
                <c:pt idx="6">
                  <c:v>PUBLICIDAD-EVENTOS</c:v>
                </c:pt>
                <c:pt idx="7">
                  <c:v>MANTENIMIENTO DE EDIFICIO</c:v>
                </c:pt>
                <c:pt idx="8">
                  <c:v>PAGO DE IMPUESTOS</c:v>
                </c:pt>
                <c:pt idx="9">
                  <c:v>ISN 3%</c:v>
                </c:pt>
                <c:pt idx="10">
                  <c:v>MENSUALIDAD DE AUTO</c:v>
                </c:pt>
                <c:pt idx="11">
                  <c:v>PAGO DE SERVICIOS</c:v>
                </c:pt>
                <c:pt idx="12">
                  <c:v>GENERAL</c:v>
                </c:pt>
                <c:pt idx="13">
                  <c:v>SOFTWARE</c:v>
                </c:pt>
                <c:pt idx="14">
                  <c:v>GASTOS DE VIAJE</c:v>
                </c:pt>
                <c:pt idx="15">
                  <c:v>HERRAMIENTAS</c:v>
                </c:pt>
                <c:pt idx="16">
                  <c:v>ACTIVO FIJO</c:v>
                </c:pt>
                <c:pt idx="17">
                  <c:v>MANTENIMIENTO DE AUTO</c:v>
                </c:pt>
                <c:pt idx="18">
                  <c:v>PAPELERIA</c:v>
                </c:pt>
                <c:pt idx="19">
                  <c:v>MOBILIARIO Y EQUIPO</c:v>
                </c:pt>
                <c:pt idx="20">
                  <c:v>CAPACITACION DE RH</c:v>
                </c:pt>
                <c:pt idx="21">
                  <c:v>ENGOMADOS</c:v>
                </c:pt>
                <c:pt idx="22">
                  <c:v>UNIFORMES</c:v>
                </c:pt>
                <c:pt idx="23">
                  <c:v>HONORARIOS</c:v>
                </c:pt>
                <c:pt idx="24">
                  <c:v>COMISIONES</c:v>
                </c:pt>
                <c:pt idx="25">
                  <c:v>EQUIPO DE PROTECCION PERSONAL</c:v>
                </c:pt>
                <c:pt idx="26">
                  <c:v>CAFETERIA</c:v>
                </c:pt>
                <c:pt idx="27">
                  <c:v>INSUMOS DE LIMPIEZA</c:v>
                </c:pt>
                <c:pt idx="28">
                  <c:v>PEAJES</c:v>
                </c:pt>
                <c:pt idx="29">
                  <c:v>COMISIONES DESPENSA</c:v>
                </c:pt>
                <c:pt idx="30">
                  <c:v>MENSAJERIA Y PAQUETERIA</c:v>
                </c:pt>
                <c:pt idx="31">
                  <c:v>PAQUETERIAS</c:v>
                </c:pt>
                <c:pt idx="32">
                  <c:v>REPARACION Y MANTENIMIENTO</c:v>
                </c:pt>
                <c:pt idx="33">
                  <c:v>REPARACION Y MANTENIMIENTO</c:v>
                </c:pt>
              </c:strCache>
            </c:strRef>
          </c:cat>
          <c:val>
            <c:numRef>
              <c:f>RESUMEN!$S$3:$S$36</c:f>
              <c:numCache>
                <c:formatCode>General</c:formatCode>
                <c:ptCount val="34"/>
                <c:pt idx="0">
                  <c:v>3773681.32</c:v>
                </c:pt>
                <c:pt idx="1">
                  <c:v>619757.92000000004</c:v>
                </c:pt>
                <c:pt idx="2">
                  <c:v>450509.03</c:v>
                </c:pt>
                <c:pt idx="3">
                  <c:v>329162.12</c:v>
                </c:pt>
                <c:pt idx="4">
                  <c:v>207819.21</c:v>
                </c:pt>
                <c:pt idx="5">
                  <c:v>160560.95000000001</c:v>
                </c:pt>
                <c:pt idx="6">
                  <c:v>171289.84</c:v>
                </c:pt>
                <c:pt idx="7">
                  <c:v>123987.3</c:v>
                </c:pt>
                <c:pt idx="8">
                  <c:v>93318</c:v>
                </c:pt>
                <c:pt idx="9">
                  <c:v>99792</c:v>
                </c:pt>
                <c:pt idx="10">
                  <c:v>106237.73</c:v>
                </c:pt>
                <c:pt idx="11">
                  <c:v>82484.429999999993</c:v>
                </c:pt>
                <c:pt idx="12">
                  <c:v>60985.53</c:v>
                </c:pt>
                <c:pt idx="13">
                  <c:v>52103.05</c:v>
                </c:pt>
                <c:pt idx="14">
                  <c:v>43381.87</c:v>
                </c:pt>
                <c:pt idx="15">
                  <c:v>45213.1</c:v>
                </c:pt>
                <c:pt idx="16">
                  <c:v>40583.11</c:v>
                </c:pt>
                <c:pt idx="17">
                  <c:v>59272.74</c:v>
                </c:pt>
                <c:pt idx="18">
                  <c:v>35187.19</c:v>
                </c:pt>
                <c:pt idx="19">
                  <c:v>31008.54</c:v>
                </c:pt>
                <c:pt idx="20">
                  <c:v>26063.98</c:v>
                </c:pt>
                <c:pt idx="21">
                  <c:v>23085</c:v>
                </c:pt>
                <c:pt idx="22">
                  <c:v>22609.05</c:v>
                </c:pt>
                <c:pt idx="23">
                  <c:v>17536.07</c:v>
                </c:pt>
                <c:pt idx="24">
                  <c:v>20113.97</c:v>
                </c:pt>
                <c:pt idx="25">
                  <c:v>17441.009999999998</c:v>
                </c:pt>
                <c:pt idx="26">
                  <c:v>13893.57</c:v>
                </c:pt>
                <c:pt idx="27">
                  <c:v>10090.09</c:v>
                </c:pt>
                <c:pt idx="28">
                  <c:v>7656.4</c:v>
                </c:pt>
                <c:pt idx="29">
                  <c:v>6878.54</c:v>
                </c:pt>
                <c:pt idx="30">
                  <c:v>3444.08</c:v>
                </c:pt>
                <c:pt idx="31">
                  <c:v>174</c:v>
                </c:pt>
                <c:pt idx="32">
                  <c:v>300</c:v>
                </c:pt>
                <c:pt idx="33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2-1E1E-4044-9B80-1EABC23B37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2</xdr:row>
      <xdr:rowOff>0</xdr:rowOff>
    </xdr:from>
    <xdr:to>
      <xdr:col>30</xdr:col>
      <xdr:colOff>182880</xdr:colOff>
      <xdr:row>28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6083687-8D00-E036-5DCD-EBD1A4E0DF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286310</xdr:colOff>
      <xdr:row>46</xdr:row>
      <xdr:rowOff>80683</xdr:rowOff>
    </xdr:from>
    <xdr:to>
      <xdr:col>13</xdr:col>
      <xdr:colOff>1019736</xdr:colOff>
      <xdr:row>70</xdr:row>
      <xdr:rowOff>56590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67FDA83B-3360-05E5-E900-F806C2A45C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71718</xdr:colOff>
      <xdr:row>70</xdr:row>
      <xdr:rowOff>89646</xdr:rowOff>
    </xdr:from>
    <xdr:to>
      <xdr:col>13</xdr:col>
      <xdr:colOff>860613</xdr:colOff>
      <xdr:row>92</xdr:row>
      <xdr:rowOff>29414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3E805125-CF64-4386-AB09-C9C2A61596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83820</xdr:colOff>
      <xdr:row>62</xdr:row>
      <xdr:rowOff>30480</xdr:rowOff>
    </xdr:from>
    <xdr:to>
      <xdr:col>12</xdr:col>
      <xdr:colOff>586740</xdr:colOff>
      <xdr:row>89</xdr:row>
      <xdr:rowOff>22860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A13E439-A507-4B30-B262-36B6487E51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97</xdr:row>
      <xdr:rowOff>0</xdr:rowOff>
    </xdr:from>
    <xdr:to>
      <xdr:col>6</xdr:col>
      <xdr:colOff>304800</xdr:colOff>
      <xdr:row>98</xdr:row>
      <xdr:rowOff>121920</xdr:rowOff>
    </xdr:to>
    <xdr:sp macro="" textlink="">
      <xdr:nvSpPr>
        <xdr:cNvPr id="5121" name="AutoShape 1">
          <a:extLst>
            <a:ext uri="{FF2B5EF4-FFF2-40B4-BE49-F238E27FC236}">
              <a16:creationId xmlns:a16="http://schemas.microsoft.com/office/drawing/2014/main" id="{EC2AB683-7754-1B0E-B00A-22BEC367396E}"/>
            </a:ext>
          </a:extLst>
        </xdr:cNvPr>
        <xdr:cNvSpPr>
          <a:spLocks noChangeAspect="1" noChangeArrowheads="1"/>
        </xdr:cNvSpPr>
      </xdr:nvSpPr>
      <xdr:spPr bwMode="auto">
        <a:xfrm>
          <a:off x="5135880" y="11704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61</xdr:row>
      <xdr:rowOff>121920</xdr:rowOff>
    </xdr:to>
    <xdr:sp macro="" textlink="">
      <xdr:nvSpPr>
        <xdr:cNvPr id="5122" name="AutoShape 2">
          <a:extLst>
            <a:ext uri="{FF2B5EF4-FFF2-40B4-BE49-F238E27FC236}">
              <a16:creationId xmlns:a16="http://schemas.microsoft.com/office/drawing/2014/main" id="{6D3813D3-87C6-1F8B-306C-6B9A31DB985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61</xdr:row>
      <xdr:rowOff>121920</xdr:rowOff>
    </xdr:to>
    <xdr:sp macro="" textlink="">
      <xdr:nvSpPr>
        <xdr:cNvPr id="5126" name="AutoShape 6">
          <a:extLst>
            <a:ext uri="{FF2B5EF4-FFF2-40B4-BE49-F238E27FC236}">
              <a16:creationId xmlns:a16="http://schemas.microsoft.com/office/drawing/2014/main" id="{5796DC55-E6BD-F9DB-DD53-3C8A0129072B}"/>
            </a:ext>
          </a:extLst>
        </xdr:cNvPr>
        <xdr:cNvSpPr>
          <a:spLocks noChangeAspect="1" noChangeArrowheads="1"/>
        </xdr:cNvSpPr>
      </xdr:nvSpPr>
      <xdr:spPr bwMode="auto">
        <a:xfrm>
          <a:off x="792480" y="292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61</xdr:row>
      <xdr:rowOff>121920</xdr:rowOff>
    </xdr:to>
    <xdr:sp macro="" textlink="">
      <xdr:nvSpPr>
        <xdr:cNvPr id="5127" name="AutoShape 7">
          <a:extLst>
            <a:ext uri="{FF2B5EF4-FFF2-40B4-BE49-F238E27FC236}">
              <a16:creationId xmlns:a16="http://schemas.microsoft.com/office/drawing/2014/main" id="{B6D09FC7-FB99-D4AC-54CA-0A7487F75AAE}"/>
            </a:ext>
          </a:extLst>
        </xdr:cNvPr>
        <xdr:cNvSpPr>
          <a:spLocks noChangeAspect="1" noChangeArrowheads="1"/>
        </xdr:cNvSpPr>
      </xdr:nvSpPr>
      <xdr:spPr bwMode="auto">
        <a:xfrm>
          <a:off x="1744980" y="3108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</xdr:row>
      <xdr:rowOff>0</xdr:rowOff>
    </xdr:from>
    <xdr:to>
      <xdr:col>11</xdr:col>
      <xdr:colOff>304800</xdr:colOff>
      <xdr:row>61</xdr:row>
      <xdr:rowOff>121920</xdr:rowOff>
    </xdr:to>
    <xdr:sp macro="" textlink="">
      <xdr:nvSpPr>
        <xdr:cNvPr id="5129" name="AutoShape 9">
          <a:extLst>
            <a:ext uri="{FF2B5EF4-FFF2-40B4-BE49-F238E27FC236}">
              <a16:creationId xmlns:a16="http://schemas.microsoft.com/office/drawing/2014/main" id="{6EBB92CC-2E95-6286-0CA2-EE8141B7644A}"/>
            </a:ext>
          </a:extLst>
        </xdr:cNvPr>
        <xdr:cNvSpPr>
          <a:spLocks noChangeAspect="1" noChangeArrowheads="1"/>
        </xdr:cNvSpPr>
      </xdr:nvSpPr>
      <xdr:spPr bwMode="auto">
        <a:xfrm>
          <a:off x="9098280" y="18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59B46-8335-4232-8C8E-B90331F46E5D}">
  <dimension ref="A1:S43"/>
  <sheetViews>
    <sheetView workbookViewId="0">
      <selection activeCell="H37" sqref="H37"/>
    </sheetView>
  </sheetViews>
  <sheetFormatPr baseColWidth="10" defaultRowHeight="14.4" x14ac:dyDescent="0.3"/>
  <cols>
    <col min="1" max="1" width="26.5546875" customWidth="1"/>
    <col min="2" max="3" width="15.109375" bestFit="1" customWidth="1"/>
    <col min="4" max="4" width="16" customWidth="1"/>
    <col min="5" max="5" width="16.109375" customWidth="1"/>
    <col min="6" max="6" width="15" customWidth="1"/>
    <col min="7" max="7" width="15.6640625" customWidth="1"/>
    <col min="8" max="8" width="15.44140625" customWidth="1"/>
    <col min="9" max="12" width="8.88671875" hidden="1" customWidth="1"/>
    <col min="13" max="13" width="1.5546875" hidden="1" customWidth="1"/>
    <col min="14" max="14" width="22.21875" customWidth="1"/>
    <col min="15" max="15" width="14" bestFit="1" customWidth="1"/>
    <col min="16" max="16" width="63.44140625" customWidth="1"/>
    <col min="18" max="18" width="2.44140625" customWidth="1"/>
    <col min="19" max="19" width="2.6640625" customWidth="1"/>
  </cols>
  <sheetData>
    <row r="1" spans="1:19" ht="38.4" customHeight="1" x14ac:dyDescent="0.3">
      <c r="A1" s="102" t="s">
        <v>443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</row>
    <row r="2" spans="1:19" ht="22.2" customHeight="1" x14ac:dyDescent="0.3">
      <c r="A2" s="47" t="s">
        <v>239</v>
      </c>
      <c r="B2" s="48" t="s">
        <v>240</v>
      </c>
      <c r="C2" s="48" t="s">
        <v>241</v>
      </c>
      <c r="D2" s="48" t="s">
        <v>242</v>
      </c>
      <c r="E2" s="48" t="s">
        <v>243</v>
      </c>
      <c r="F2" s="48" t="s">
        <v>244</v>
      </c>
      <c r="G2" s="48" t="s">
        <v>245</v>
      </c>
      <c r="H2" s="48" t="s">
        <v>246</v>
      </c>
      <c r="I2" s="48" t="s">
        <v>247</v>
      </c>
      <c r="J2" s="48" t="s">
        <v>248</v>
      </c>
      <c r="K2" s="48" t="s">
        <v>249</v>
      </c>
      <c r="L2" s="48" t="s">
        <v>250</v>
      </c>
      <c r="M2" s="48" t="s">
        <v>251</v>
      </c>
      <c r="N2" s="76" t="s">
        <v>252</v>
      </c>
      <c r="O2" s="76" t="s">
        <v>895</v>
      </c>
      <c r="R2" t="s">
        <v>239</v>
      </c>
      <c r="S2" t="s">
        <v>252</v>
      </c>
    </row>
    <row r="3" spans="1:19" x14ac:dyDescent="0.3">
      <c r="A3" s="49" t="s">
        <v>25</v>
      </c>
      <c r="B3" s="50">
        <v>892818</v>
      </c>
      <c r="C3" s="50">
        <v>716118.47999999986</v>
      </c>
      <c r="D3" s="50">
        <v>681194.89000000013</v>
      </c>
      <c r="E3" s="50">
        <v>719166.04999999993</v>
      </c>
      <c r="F3" s="50">
        <v>764383.9</v>
      </c>
      <c r="G3" s="50">
        <v>865419.61999999988</v>
      </c>
      <c r="H3" s="50">
        <v>880483.36999999988</v>
      </c>
      <c r="I3" s="51"/>
      <c r="J3" s="51"/>
      <c r="K3" s="51"/>
      <c r="L3" s="51"/>
      <c r="M3" s="51"/>
      <c r="N3" s="77">
        <f>SUM(B3:M3)</f>
        <v>5519584.3099999996</v>
      </c>
      <c r="O3" s="78">
        <f>+N3/$N$37</f>
        <v>0.57438815699579793</v>
      </c>
      <c r="R3" t="s">
        <v>25</v>
      </c>
      <c r="S3">
        <v>3773681.32</v>
      </c>
    </row>
    <row r="4" spans="1:19" x14ac:dyDescent="0.3">
      <c r="A4" s="49" t="s">
        <v>135</v>
      </c>
      <c r="B4" s="50">
        <v>179114.92</v>
      </c>
      <c r="C4" s="50">
        <v>46822.61</v>
      </c>
      <c r="D4" s="50">
        <v>172272.73</v>
      </c>
      <c r="E4" s="50">
        <v>45302.32</v>
      </c>
      <c r="F4" s="50">
        <v>176245.34</v>
      </c>
      <c r="G4" s="50">
        <v>45678.42</v>
      </c>
      <c r="H4" s="50">
        <v>167889.13</v>
      </c>
      <c r="I4" s="51"/>
      <c r="J4" s="51"/>
      <c r="K4" s="51"/>
      <c r="L4" s="51"/>
      <c r="M4" s="51"/>
      <c r="N4" s="77">
        <f>SUM(B4:M4)</f>
        <v>833325.47000000009</v>
      </c>
      <c r="O4" s="78">
        <f>+N4/$N$37</f>
        <v>8.6718900193945445E-2</v>
      </c>
      <c r="R4" t="s">
        <v>135</v>
      </c>
      <c r="S4">
        <v>619757.92000000004</v>
      </c>
    </row>
    <row r="5" spans="1:19" x14ac:dyDescent="0.3">
      <c r="A5" s="49" t="s">
        <v>226</v>
      </c>
      <c r="B5" s="50">
        <v>101602.76</v>
      </c>
      <c r="C5" s="50">
        <v>96415.040000000008</v>
      </c>
      <c r="D5" s="50">
        <v>82494.709999999992</v>
      </c>
      <c r="E5" s="50">
        <v>78972.340000000011</v>
      </c>
      <c r="F5" s="50">
        <v>91024.18</v>
      </c>
      <c r="G5" s="50">
        <v>92919.029999999984</v>
      </c>
      <c r="H5" s="50">
        <v>94376.54</v>
      </c>
      <c r="I5" s="51"/>
      <c r="J5" s="51"/>
      <c r="K5" s="51"/>
      <c r="L5" s="51"/>
      <c r="M5" s="51"/>
      <c r="N5" s="77">
        <f>SUM(B5:M5)</f>
        <v>637804.60000000009</v>
      </c>
      <c r="O5" s="78">
        <f>+N5/$N$37</f>
        <v>6.637228242962416E-2</v>
      </c>
      <c r="R5" t="s">
        <v>226</v>
      </c>
      <c r="S5">
        <v>450509.03</v>
      </c>
    </row>
    <row r="6" spans="1:19" x14ac:dyDescent="0.3">
      <c r="A6" s="49" t="s">
        <v>70</v>
      </c>
      <c r="B6" s="50">
        <v>104182.23</v>
      </c>
      <c r="C6" s="50">
        <v>82334.67</v>
      </c>
      <c r="D6" s="50">
        <v>74924.490000000005</v>
      </c>
      <c r="E6" s="50">
        <v>67720.73</v>
      </c>
      <c r="F6" s="50">
        <v>0</v>
      </c>
      <c r="G6" s="50">
        <v>35607.22</v>
      </c>
      <c r="H6" s="50">
        <v>26264.25</v>
      </c>
      <c r="I6" s="51"/>
      <c r="J6" s="51"/>
      <c r="K6" s="51"/>
      <c r="L6" s="51"/>
      <c r="M6" s="51"/>
      <c r="N6" s="77">
        <f>SUM(B6:M6)</f>
        <v>391033.58999999997</v>
      </c>
      <c r="O6" s="78">
        <f>+N6/$N$37</f>
        <v>4.0692387409795812E-2</v>
      </c>
      <c r="R6" t="s">
        <v>70</v>
      </c>
      <c r="S6">
        <v>329162.12</v>
      </c>
    </row>
    <row r="7" spans="1:19" x14ac:dyDescent="0.3">
      <c r="A7" s="49" t="s">
        <v>34</v>
      </c>
      <c r="B7" s="50">
        <v>45250.140000000007</v>
      </c>
      <c r="C7" s="50">
        <v>46866.929999999978</v>
      </c>
      <c r="D7" s="50">
        <v>45257.479999999989</v>
      </c>
      <c r="E7" s="50">
        <v>37400.409999999996</v>
      </c>
      <c r="F7" s="50">
        <v>33044.249999999993</v>
      </c>
      <c r="G7" s="50">
        <v>50060.05000000001</v>
      </c>
      <c r="H7" s="50">
        <v>50480.780000000006</v>
      </c>
      <c r="I7" s="51"/>
      <c r="J7" s="51"/>
      <c r="K7" s="51"/>
      <c r="L7" s="51"/>
      <c r="M7" s="51"/>
      <c r="N7" s="77">
        <f>SUM(B7:M7)</f>
        <v>308360.03999999998</v>
      </c>
      <c r="O7" s="78">
        <f>+N7/$N$37</f>
        <v>3.2089075031585222E-2</v>
      </c>
      <c r="P7" s="67"/>
      <c r="R7" t="s">
        <v>34</v>
      </c>
      <c r="S7">
        <v>207819.21</v>
      </c>
    </row>
    <row r="8" spans="1:19" x14ac:dyDescent="0.3">
      <c r="A8" s="49" t="s">
        <v>625</v>
      </c>
      <c r="B8" s="50">
        <v>9087.2099999999991</v>
      </c>
      <c r="C8" s="50">
        <v>37115.880000000005</v>
      </c>
      <c r="D8" s="50">
        <v>22328.95</v>
      </c>
      <c r="E8" s="50">
        <v>54951.83</v>
      </c>
      <c r="F8" s="50">
        <v>47805.97</v>
      </c>
      <c r="G8" s="50">
        <v>25399.989999999998</v>
      </c>
      <c r="H8" s="50">
        <v>11658.5</v>
      </c>
      <c r="I8" s="51"/>
      <c r="J8" s="51"/>
      <c r="K8" s="51"/>
      <c r="L8" s="51"/>
      <c r="M8" s="51"/>
      <c r="N8" s="77">
        <f>SUM(B8:M8)</f>
        <v>208348.33000000002</v>
      </c>
      <c r="O8" s="78">
        <f>+N8/$N$37</f>
        <v>2.1681490228356044E-2</v>
      </c>
      <c r="R8" t="s">
        <v>45</v>
      </c>
      <c r="S8">
        <v>160560.95000000001</v>
      </c>
    </row>
    <row r="9" spans="1:19" x14ac:dyDescent="0.3">
      <c r="A9" s="49" t="s">
        <v>45</v>
      </c>
      <c r="B9" s="50">
        <v>34649.31</v>
      </c>
      <c r="C9" s="50">
        <v>46496.99</v>
      </c>
      <c r="D9" s="50">
        <v>33560.319999999992</v>
      </c>
      <c r="E9" s="50">
        <v>24472.080000000002</v>
      </c>
      <c r="F9" s="50">
        <v>21382.25</v>
      </c>
      <c r="G9" s="50">
        <v>9595.42</v>
      </c>
      <c r="H9" s="50">
        <v>19494.13</v>
      </c>
      <c r="I9" s="51"/>
      <c r="J9" s="51"/>
      <c r="K9" s="51"/>
      <c r="L9" s="51"/>
      <c r="M9" s="51"/>
      <c r="N9" s="77">
        <f>SUM(B9:M9)</f>
        <v>189650.5</v>
      </c>
      <c r="O9" s="78">
        <f>+N9/$N$37</f>
        <v>1.9735725563784636E-2</v>
      </c>
      <c r="R9" t="s">
        <v>625</v>
      </c>
      <c r="S9">
        <v>171289.84</v>
      </c>
    </row>
    <row r="10" spans="1:19" x14ac:dyDescent="0.3">
      <c r="A10" s="49" t="s">
        <v>154</v>
      </c>
      <c r="B10" s="50">
        <v>10716.99</v>
      </c>
      <c r="C10" s="50">
        <v>11665.16</v>
      </c>
      <c r="D10" s="50">
        <v>28389.54</v>
      </c>
      <c r="E10" s="50">
        <v>27693.559999999998</v>
      </c>
      <c r="F10" s="50">
        <v>27772.48</v>
      </c>
      <c r="G10" s="50">
        <v>28389.54</v>
      </c>
      <c r="H10" s="50">
        <v>27783.77</v>
      </c>
      <c r="I10" s="51"/>
      <c r="J10" s="51"/>
      <c r="K10" s="51"/>
      <c r="L10" s="51"/>
      <c r="M10" s="51"/>
      <c r="N10" s="77">
        <f>SUM(B10:M10)</f>
        <v>162411.03999999998</v>
      </c>
      <c r="O10" s="78">
        <f>+N10/$N$37</f>
        <v>1.690108760044845E-2</v>
      </c>
      <c r="R10" t="s">
        <v>15</v>
      </c>
      <c r="S10">
        <v>123987.3</v>
      </c>
    </row>
    <row r="11" spans="1:19" x14ac:dyDescent="0.3">
      <c r="A11" s="49" t="s">
        <v>19</v>
      </c>
      <c r="B11" s="50">
        <v>9243.119999999999</v>
      </c>
      <c r="C11" s="50">
        <v>11296.17</v>
      </c>
      <c r="D11" s="50">
        <v>8042.63</v>
      </c>
      <c r="E11" s="50">
        <v>15371.75</v>
      </c>
      <c r="F11" s="50">
        <v>8149.38</v>
      </c>
      <c r="G11" s="50">
        <v>3507.07</v>
      </c>
      <c r="H11" s="50">
        <v>103659.42</v>
      </c>
      <c r="I11" s="51"/>
      <c r="J11" s="51"/>
      <c r="K11" s="51"/>
      <c r="L11" s="51"/>
      <c r="M11" s="51"/>
      <c r="N11" s="77">
        <f>SUM(B11:M11)</f>
        <v>159269.53999999998</v>
      </c>
      <c r="O11" s="78">
        <f>+N11/$N$37</f>
        <v>1.6574171605717988E-2</v>
      </c>
      <c r="R11" t="s">
        <v>113</v>
      </c>
      <c r="S11">
        <v>93318</v>
      </c>
    </row>
    <row r="12" spans="1:19" x14ac:dyDescent="0.3">
      <c r="A12" s="49" t="s">
        <v>15</v>
      </c>
      <c r="B12" s="50">
        <v>33846.730000000003</v>
      </c>
      <c r="C12" s="50">
        <v>30005.449999999993</v>
      </c>
      <c r="D12" s="50">
        <v>36030.050000000003</v>
      </c>
      <c r="E12" s="50">
        <v>22971.07</v>
      </c>
      <c r="F12" s="50">
        <v>1134</v>
      </c>
      <c r="G12" s="50">
        <v>0</v>
      </c>
      <c r="H12" s="50">
        <v>14087.09</v>
      </c>
      <c r="I12" s="51"/>
      <c r="J12" s="51"/>
      <c r="K12" s="51"/>
      <c r="L12" s="51"/>
      <c r="M12" s="51"/>
      <c r="N12" s="77">
        <f>SUM(B12:M12)</f>
        <v>138074.38999999998</v>
      </c>
      <c r="O12" s="78">
        <f>+N12/$N$37</f>
        <v>1.4368526676317593E-2</v>
      </c>
      <c r="R12" t="s">
        <v>370</v>
      </c>
      <c r="S12">
        <v>99792</v>
      </c>
    </row>
    <row r="13" spans="1:19" x14ac:dyDescent="0.3">
      <c r="A13" s="49" t="s">
        <v>370</v>
      </c>
      <c r="B13" s="50">
        <v>24012</v>
      </c>
      <c r="C13" s="50">
        <v>21935</v>
      </c>
      <c r="D13" s="50">
        <v>17868</v>
      </c>
      <c r="E13" s="50">
        <v>15779</v>
      </c>
      <c r="F13" s="50">
        <v>20198</v>
      </c>
      <c r="G13" s="50">
        <v>15018</v>
      </c>
      <c r="H13" s="50">
        <v>19359</v>
      </c>
      <c r="I13" s="52"/>
      <c r="J13" s="52"/>
      <c r="K13" s="52"/>
      <c r="L13" s="52"/>
      <c r="M13" s="52"/>
      <c r="N13" s="77">
        <f>SUM(B13:M13)</f>
        <v>134169</v>
      </c>
      <c r="O13" s="78">
        <f>+N13/$N$37</f>
        <v>1.3962117490686399E-2</v>
      </c>
      <c r="R13" t="s">
        <v>154</v>
      </c>
      <c r="S13">
        <v>106237.73</v>
      </c>
    </row>
    <row r="14" spans="1:19" x14ac:dyDescent="0.3">
      <c r="A14" s="49" t="s">
        <v>113</v>
      </c>
      <c r="B14" s="50">
        <v>60262</v>
      </c>
      <c r="C14" s="50">
        <v>18126</v>
      </c>
      <c r="D14" s="50">
        <v>14930</v>
      </c>
      <c r="E14" s="50">
        <v>0</v>
      </c>
      <c r="F14" s="50">
        <v>0</v>
      </c>
      <c r="G14" s="50">
        <v>26754</v>
      </c>
      <c r="H14" s="50">
        <v>0</v>
      </c>
      <c r="I14" s="51"/>
      <c r="J14" s="51"/>
      <c r="K14" s="51"/>
      <c r="L14" s="51"/>
      <c r="M14" s="51"/>
      <c r="N14" s="77">
        <f>SUM(B14:M14)</f>
        <v>120072</v>
      </c>
      <c r="O14" s="78">
        <f>+N14/$N$37</f>
        <v>1.2495132044970875E-2</v>
      </c>
      <c r="R14" t="s">
        <v>29</v>
      </c>
      <c r="S14">
        <v>82484.429999999993</v>
      </c>
    </row>
    <row r="15" spans="1:19" x14ac:dyDescent="0.3">
      <c r="A15" s="49" t="s">
        <v>29</v>
      </c>
      <c r="B15" s="50">
        <v>20635.939999999999</v>
      </c>
      <c r="C15" s="50">
        <v>10100.5</v>
      </c>
      <c r="D15" s="50">
        <v>17268.060000000001</v>
      </c>
      <c r="E15" s="50">
        <v>12746.72</v>
      </c>
      <c r="F15" s="50">
        <v>21733.21</v>
      </c>
      <c r="G15" s="50">
        <v>13422.380000000001</v>
      </c>
      <c r="H15" s="50">
        <v>20561</v>
      </c>
      <c r="I15" s="51"/>
      <c r="J15" s="51"/>
      <c r="K15" s="51"/>
      <c r="L15" s="51"/>
      <c r="M15" s="51"/>
      <c r="N15" s="77">
        <f>SUM(B15:M15)</f>
        <v>116467.81</v>
      </c>
      <c r="O15" s="78">
        <f>+N15/$N$37</f>
        <v>1.2120066834387528E-2</v>
      </c>
      <c r="R15" t="s">
        <v>79</v>
      </c>
      <c r="S15">
        <v>60985.53</v>
      </c>
    </row>
    <row r="16" spans="1:19" x14ac:dyDescent="0.3">
      <c r="A16" s="49" t="s">
        <v>79</v>
      </c>
      <c r="B16" s="50">
        <v>15939.23</v>
      </c>
      <c r="C16" s="50">
        <v>3455.5</v>
      </c>
      <c r="D16" s="50">
        <v>19874.43</v>
      </c>
      <c r="E16" s="50">
        <v>11363.480000000001</v>
      </c>
      <c r="F16" s="50">
        <v>10352.89</v>
      </c>
      <c r="G16" s="50">
        <v>25432.84</v>
      </c>
      <c r="H16" s="50">
        <v>5112.97</v>
      </c>
      <c r="I16" s="51"/>
      <c r="J16" s="51"/>
      <c r="K16" s="51"/>
      <c r="L16" s="51"/>
      <c r="M16" s="51"/>
      <c r="N16" s="77">
        <f>SUM(B16:M16)</f>
        <v>91531.340000000011</v>
      </c>
      <c r="O16" s="78">
        <f>+N16/$N$37</f>
        <v>9.5250864444093933E-3</v>
      </c>
      <c r="R16" t="s">
        <v>19</v>
      </c>
      <c r="S16">
        <v>52103.05</v>
      </c>
    </row>
    <row r="17" spans="1:19" x14ac:dyDescent="0.3">
      <c r="A17" s="49" t="s">
        <v>13</v>
      </c>
      <c r="B17" s="50">
        <v>14098.05</v>
      </c>
      <c r="C17" s="50">
        <v>9275.52</v>
      </c>
      <c r="D17" s="50">
        <v>10119</v>
      </c>
      <c r="E17" s="50">
        <v>1793.82</v>
      </c>
      <c r="F17" s="50">
        <v>23986.35</v>
      </c>
      <c r="G17" s="50">
        <v>4880</v>
      </c>
      <c r="H17" s="50">
        <v>21314.7</v>
      </c>
      <c r="I17" s="51"/>
      <c r="J17" s="51"/>
      <c r="K17" s="51"/>
      <c r="L17" s="51"/>
      <c r="M17" s="51"/>
      <c r="N17" s="77">
        <f>SUM(B17:M17)</f>
        <v>85467.44</v>
      </c>
      <c r="O17" s="78">
        <f>+N17/$N$37</f>
        <v>8.8940548033315473E-3</v>
      </c>
      <c r="R17" t="s">
        <v>62</v>
      </c>
      <c r="S17">
        <v>43381.87</v>
      </c>
    </row>
    <row r="18" spans="1:19" x14ac:dyDescent="0.3">
      <c r="A18" s="49" t="s">
        <v>60</v>
      </c>
      <c r="B18" s="50">
        <v>8623.99</v>
      </c>
      <c r="C18" s="50">
        <v>0</v>
      </c>
      <c r="D18" s="50">
        <v>14539.99</v>
      </c>
      <c r="E18" s="50">
        <v>1100</v>
      </c>
      <c r="F18" s="50">
        <v>1800</v>
      </c>
      <c r="G18" s="50">
        <v>1392</v>
      </c>
      <c r="H18" s="50">
        <v>42364.639999999999</v>
      </c>
      <c r="I18" s="51"/>
      <c r="J18" s="51"/>
      <c r="K18" s="51"/>
      <c r="L18" s="51"/>
      <c r="M18" s="51"/>
      <c r="N18" s="77">
        <f>SUM(B18:M18)</f>
        <v>69820.62</v>
      </c>
      <c r="O18" s="78">
        <f>+N18/$N$37</f>
        <v>7.2657894127001665E-3</v>
      </c>
      <c r="R18" t="s">
        <v>7</v>
      </c>
      <c r="S18">
        <v>45213.1</v>
      </c>
    </row>
    <row r="19" spans="1:19" x14ac:dyDescent="0.3">
      <c r="A19" s="49" t="s">
        <v>7</v>
      </c>
      <c r="B19" s="50">
        <v>24321.64</v>
      </c>
      <c r="C19" s="50">
        <v>13096.58</v>
      </c>
      <c r="D19" s="50">
        <v>5745.7</v>
      </c>
      <c r="E19" s="50">
        <v>2049.1800000000003</v>
      </c>
      <c r="F19" s="50">
        <v>0</v>
      </c>
      <c r="G19" s="50">
        <v>8573.02</v>
      </c>
      <c r="H19" s="50">
        <v>2504.81</v>
      </c>
      <c r="I19" s="51"/>
      <c r="J19" s="51"/>
      <c r="K19" s="51"/>
      <c r="L19" s="51"/>
      <c r="M19" s="51"/>
      <c r="N19" s="77">
        <f>SUM(B19:M19)</f>
        <v>56290.929999999993</v>
      </c>
      <c r="O19" s="78">
        <f>+N19/$N$37</f>
        <v>5.857840323174531E-3</v>
      </c>
      <c r="R19" t="s">
        <v>453</v>
      </c>
      <c r="S19">
        <v>40583.11</v>
      </c>
    </row>
    <row r="20" spans="1:19" x14ac:dyDescent="0.3">
      <c r="A20" s="49" t="s">
        <v>163</v>
      </c>
      <c r="B20" s="50">
        <v>8196.4900000000016</v>
      </c>
      <c r="C20" s="50">
        <v>9324.93</v>
      </c>
      <c r="D20" s="50">
        <v>3206.44</v>
      </c>
      <c r="E20" s="50">
        <v>11944.7</v>
      </c>
      <c r="F20" s="50">
        <v>2514.6299999999997</v>
      </c>
      <c r="G20" s="50">
        <v>10644.97</v>
      </c>
      <c r="H20" s="50">
        <v>2682.86</v>
      </c>
      <c r="I20" s="51"/>
      <c r="J20" s="51"/>
      <c r="K20" s="51"/>
      <c r="L20" s="51"/>
      <c r="M20" s="51"/>
      <c r="N20" s="77">
        <f>SUM(B20:M20)</f>
        <v>48515.020000000004</v>
      </c>
      <c r="O20" s="78">
        <f>+N20/$N$37</f>
        <v>5.0486506518122708E-3</v>
      </c>
      <c r="R20" t="s">
        <v>13</v>
      </c>
      <c r="S20">
        <v>59272.74</v>
      </c>
    </row>
    <row r="21" spans="1:19" x14ac:dyDescent="0.3">
      <c r="A21" s="49" t="s">
        <v>453</v>
      </c>
      <c r="B21" s="50"/>
      <c r="C21" s="50"/>
      <c r="D21" s="50">
        <v>16726.61</v>
      </c>
      <c r="E21" s="50">
        <v>23856.5</v>
      </c>
      <c r="F21" s="50">
        <v>0</v>
      </c>
      <c r="G21" s="50"/>
      <c r="H21" s="50">
        <v>7024.19</v>
      </c>
      <c r="I21" s="51"/>
      <c r="J21" s="51"/>
      <c r="K21" s="51"/>
      <c r="L21" s="51"/>
      <c r="M21" s="51"/>
      <c r="N21" s="77">
        <f>SUM(B21:M21)</f>
        <v>47607.3</v>
      </c>
      <c r="O21" s="78">
        <f>+N21/$N$37</f>
        <v>4.9541899843805548E-3</v>
      </c>
      <c r="R21" t="s">
        <v>163</v>
      </c>
      <c r="S21">
        <v>35187.19</v>
      </c>
    </row>
    <row r="22" spans="1:19" x14ac:dyDescent="0.3">
      <c r="A22" s="49" t="s">
        <v>22</v>
      </c>
      <c r="B22" s="50">
        <v>8120</v>
      </c>
      <c r="C22" s="50">
        <v>6536.92</v>
      </c>
      <c r="D22" s="50">
        <v>12351.619999999999</v>
      </c>
      <c r="E22" s="50">
        <v>0</v>
      </c>
      <c r="F22" s="50">
        <v>4000</v>
      </c>
      <c r="G22" s="50">
        <v>15175.59</v>
      </c>
      <c r="H22" s="50">
        <v>0</v>
      </c>
      <c r="I22" s="51"/>
      <c r="J22" s="51"/>
      <c r="K22" s="51"/>
      <c r="L22" s="51"/>
      <c r="M22" s="51"/>
      <c r="N22" s="77">
        <f>SUM(B22:M22)</f>
        <v>46184.130000000005</v>
      </c>
      <c r="O22" s="78">
        <f>+N22/$N$37</f>
        <v>4.8060897022794728E-3</v>
      </c>
      <c r="R22" t="s">
        <v>22</v>
      </c>
      <c r="S22">
        <v>31008.54</v>
      </c>
    </row>
    <row r="23" spans="1:19" x14ac:dyDescent="0.3">
      <c r="A23" s="49" t="s">
        <v>62</v>
      </c>
      <c r="B23" s="50">
        <v>2795.9700000000003</v>
      </c>
      <c r="C23" s="50">
        <v>19313.07</v>
      </c>
      <c r="D23" s="50">
        <v>13225.599999999999</v>
      </c>
      <c r="E23" s="50">
        <v>8047.23</v>
      </c>
      <c r="F23" s="50">
        <v>0</v>
      </c>
      <c r="G23" s="50"/>
      <c r="H23" s="50">
        <v>0</v>
      </c>
      <c r="I23" s="51"/>
      <c r="J23" s="51"/>
      <c r="K23" s="51"/>
      <c r="L23" s="51"/>
      <c r="M23" s="51"/>
      <c r="N23" s="77">
        <f>SUM(B23:M23)</f>
        <v>43381.869999999995</v>
      </c>
      <c r="O23" s="78">
        <f>+N23/$N$37</f>
        <v>4.5144762643060882E-3</v>
      </c>
      <c r="R23" t="s">
        <v>60</v>
      </c>
      <c r="S23">
        <v>26063.98</v>
      </c>
    </row>
    <row r="24" spans="1:19" x14ac:dyDescent="0.3">
      <c r="A24" s="49" t="s">
        <v>169</v>
      </c>
      <c r="B24" s="50">
        <v>18095.489999999998</v>
      </c>
      <c r="C24" s="50">
        <v>0</v>
      </c>
      <c r="D24" s="50">
        <v>649.6</v>
      </c>
      <c r="E24" s="50">
        <v>2521.84</v>
      </c>
      <c r="F24" s="50">
        <v>1342.12</v>
      </c>
      <c r="G24" s="50">
        <v>3262.33</v>
      </c>
      <c r="H24" s="50">
        <v>4281.95</v>
      </c>
      <c r="I24" s="51"/>
      <c r="J24" s="51"/>
      <c r="K24" s="51"/>
      <c r="L24" s="51"/>
      <c r="M24" s="51"/>
      <c r="N24" s="77">
        <f>SUM(B24:M24)</f>
        <v>30153.329999999998</v>
      </c>
      <c r="O24" s="78">
        <f>+N24/$N$37</f>
        <v>3.1378659466451929E-3</v>
      </c>
      <c r="R24" t="s">
        <v>42</v>
      </c>
      <c r="S24">
        <v>23085</v>
      </c>
    </row>
    <row r="25" spans="1:19" x14ac:dyDescent="0.3">
      <c r="A25" s="49" t="s">
        <v>53</v>
      </c>
      <c r="B25" s="50">
        <v>295.8</v>
      </c>
      <c r="C25" s="50">
        <v>3882.42</v>
      </c>
      <c r="D25" s="50">
        <v>6403.9599999999991</v>
      </c>
      <c r="E25" s="50">
        <v>6892.03</v>
      </c>
      <c r="F25" s="50">
        <v>2639.76</v>
      </c>
      <c r="G25" s="50">
        <v>5320.4800000000005</v>
      </c>
      <c r="H25" s="50">
        <v>4231.4400000000005</v>
      </c>
      <c r="I25" s="51"/>
      <c r="J25" s="51"/>
      <c r="K25" s="51"/>
      <c r="L25" s="51"/>
      <c r="M25" s="51"/>
      <c r="N25" s="77">
        <f>SUM(B25:M25)</f>
        <v>29665.89</v>
      </c>
      <c r="O25" s="78">
        <f>+N25/$N$37</f>
        <v>3.0871411551534164E-3</v>
      </c>
      <c r="R25" t="s">
        <v>169</v>
      </c>
      <c r="S25">
        <v>22609.05</v>
      </c>
    </row>
    <row r="26" spans="1:19" x14ac:dyDescent="0.3">
      <c r="A26" s="49" t="s">
        <v>89</v>
      </c>
      <c r="B26" s="50">
        <v>3047</v>
      </c>
      <c r="C26" s="50">
        <v>6298.01</v>
      </c>
      <c r="D26" s="50">
        <v>2489</v>
      </c>
      <c r="E26" s="50">
        <v>5246</v>
      </c>
      <c r="F26" s="50">
        <v>361</v>
      </c>
      <c r="G26" s="50">
        <v>6901.32</v>
      </c>
      <c r="H26" s="50">
        <v>3714</v>
      </c>
      <c r="I26" s="51"/>
      <c r="J26" s="51"/>
      <c r="K26" s="51"/>
      <c r="L26" s="51"/>
      <c r="M26" s="51"/>
      <c r="N26" s="77">
        <f>SUM(B26:M26)</f>
        <v>28056.33</v>
      </c>
      <c r="O26" s="78">
        <f>+N26/$N$37</f>
        <v>2.9196444470590793E-3</v>
      </c>
      <c r="R26" t="s">
        <v>679</v>
      </c>
      <c r="S26">
        <v>17536.07</v>
      </c>
    </row>
    <row r="27" spans="1:19" x14ac:dyDescent="0.3">
      <c r="A27" s="49" t="s">
        <v>42</v>
      </c>
      <c r="B27" s="50">
        <v>23085</v>
      </c>
      <c r="C27" s="50">
        <v>0</v>
      </c>
      <c r="D27" s="50">
        <v>0</v>
      </c>
      <c r="E27" s="50">
        <v>0</v>
      </c>
      <c r="F27" s="50">
        <v>0</v>
      </c>
      <c r="G27" s="50"/>
      <c r="H27" s="50">
        <v>0</v>
      </c>
      <c r="I27" s="51"/>
      <c r="J27" s="51"/>
      <c r="K27" s="51"/>
      <c r="L27" s="51"/>
      <c r="M27" s="51"/>
      <c r="N27" s="77">
        <f>SUM(B27:M27)</f>
        <v>23085</v>
      </c>
      <c r="O27" s="78">
        <f>+N27/$N$37</f>
        <v>2.4023096413664522E-3</v>
      </c>
      <c r="R27" t="s">
        <v>53</v>
      </c>
      <c r="S27">
        <v>20113.97</v>
      </c>
    </row>
    <row r="28" spans="1:19" x14ac:dyDescent="0.3">
      <c r="A28" s="49" t="s">
        <v>50</v>
      </c>
      <c r="B28" s="50">
        <v>2597</v>
      </c>
      <c r="C28" s="50">
        <v>4144.32</v>
      </c>
      <c r="D28" s="50">
        <v>4797.75</v>
      </c>
      <c r="E28" s="50">
        <v>1793</v>
      </c>
      <c r="F28" s="50">
        <v>561.5</v>
      </c>
      <c r="G28" s="50">
        <v>2367.67</v>
      </c>
      <c r="H28" s="50">
        <v>2805.1</v>
      </c>
      <c r="I28" s="51"/>
      <c r="J28" s="51"/>
      <c r="K28" s="51"/>
      <c r="L28" s="51"/>
      <c r="M28" s="51"/>
      <c r="N28" s="77">
        <f>SUM(B28:M28)</f>
        <v>19066.34</v>
      </c>
      <c r="O28" s="78">
        <f>+N28/$N$37</f>
        <v>1.9841131647204179E-3</v>
      </c>
      <c r="R28" t="s">
        <v>89</v>
      </c>
      <c r="S28">
        <v>17441.009999999998</v>
      </c>
    </row>
    <row r="29" spans="1:19" x14ac:dyDescent="0.3">
      <c r="A29" s="49" t="s">
        <v>679</v>
      </c>
      <c r="B29" s="50">
        <v>0</v>
      </c>
      <c r="C29" s="50">
        <v>0</v>
      </c>
      <c r="D29" s="50">
        <v>0</v>
      </c>
      <c r="E29" s="50">
        <v>17536.07</v>
      </c>
      <c r="F29" s="50">
        <v>0</v>
      </c>
      <c r="G29" s="50"/>
      <c r="H29" s="50">
        <v>0</v>
      </c>
      <c r="I29" s="51"/>
      <c r="J29" s="51"/>
      <c r="K29" s="51"/>
      <c r="L29" s="51"/>
      <c r="M29" s="51"/>
      <c r="N29" s="77">
        <f>SUM(B29:M29)</f>
        <v>17536.07</v>
      </c>
      <c r="O29" s="78">
        <f>+N29/$N$37</f>
        <v>1.8248676644001302E-3</v>
      </c>
      <c r="R29" t="s">
        <v>50</v>
      </c>
      <c r="S29">
        <v>13893.57</v>
      </c>
    </row>
    <row r="30" spans="1:19" x14ac:dyDescent="0.3">
      <c r="A30" s="49" t="s">
        <v>255</v>
      </c>
      <c r="B30" s="50">
        <v>0</v>
      </c>
      <c r="C30" s="50">
        <v>0</v>
      </c>
      <c r="D30" s="50">
        <v>0</v>
      </c>
      <c r="E30" s="50">
        <v>0</v>
      </c>
      <c r="F30" s="50">
        <v>300</v>
      </c>
      <c r="G30" s="50">
        <v>4367.6400000000003</v>
      </c>
      <c r="H30" s="50">
        <v>10568.93</v>
      </c>
      <c r="I30" s="51"/>
      <c r="J30" s="51"/>
      <c r="K30" s="51"/>
      <c r="L30" s="51"/>
      <c r="M30" s="51"/>
      <c r="N30" s="77">
        <f>SUM(B30:M30)</f>
        <v>15236.57</v>
      </c>
      <c r="O30" s="78">
        <f>+N30/$N$37</f>
        <v>1.5855732732230818E-3</v>
      </c>
      <c r="R30" t="s">
        <v>218</v>
      </c>
      <c r="S30">
        <v>10090.09</v>
      </c>
    </row>
    <row r="31" spans="1:19" x14ac:dyDescent="0.3">
      <c r="A31" s="49" t="s">
        <v>218</v>
      </c>
      <c r="B31" s="50">
        <v>1403.17</v>
      </c>
      <c r="C31" s="50">
        <v>3484.64</v>
      </c>
      <c r="D31" s="50">
        <v>2513.9499999999998</v>
      </c>
      <c r="E31" s="50">
        <v>1127.78</v>
      </c>
      <c r="F31" s="50">
        <v>1560.55</v>
      </c>
      <c r="G31" s="50">
        <v>3440.2400000000002</v>
      </c>
      <c r="H31" s="50">
        <v>170</v>
      </c>
      <c r="I31" s="51"/>
      <c r="J31" s="51"/>
      <c r="K31" s="51"/>
      <c r="L31" s="51"/>
      <c r="M31" s="51"/>
      <c r="N31" s="77">
        <f>SUM(B31:M31)</f>
        <v>13700.329999999998</v>
      </c>
      <c r="O31" s="78">
        <f>+N31/$N$37</f>
        <v>1.4257065128395947E-3</v>
      </c>
      <c r="R31" t="s">
        <v>81</v>
      </c>
      <c r="S31">
        <v>7656.4</v>
      </c>
    </row>
    <row r="32" spans="1:19" x14ac:dyDescent="0.3">
      <c r="A32" s="49" t="s">
        <v>81</v>
      </c>
      <c r="B32" s="50">
        <v>2021</v>
      </c>
      <c r="C32" s="50">
        <v>3058.4</v>
      </c>
      <c r="D32" s="50">
        <v>1268</v>
      </c>
      <c r="E32" s="50">
        <v>0</v>
      </c>
      <c r="F32" s="50">
        <v>1309</v>
      </c>
      <c r="G32" s="50">
        <v>268</v>
      </c>
      <c r="H32" s="50">
        <v>2644</v>
      </c>
      <c r="I32" s="51"/>
      <c r="J32" s="51"/>
      <c r="K32" s="51"/>
      <c r="L32" s="51"/>
      <c r="M32" s="51"/>
      <c r="N32" s="77">
        <f>SUM(B32:M32)</f>
        <v>10568.4</v>
      </c>
      <c r="O32" s="78">
        <f>+N32/$N$37</f>
        <v>1.0997864073561713E-3</v>
      </c>
      <c r="R32" t="s">
        <v>17</v>
      </c>
      <c r="S32">
        <v>6878.54</v>
      </c>
    </row>
    <row r="33" spans="1:19" x14ac:dyDescent="0.3">
      <c r="A33" s="49" t="s">
        <v>17</v>
      </c>
      <c r="B33" s="50">
        <v>1620.15</v>
      </c>
      <c r="C33" s="50">
        <v>1325.28</v>
      </c>
      <c r="D33" s="50">
        <v>1311.04</v>
      </c>
      <c r="E33" s="50">
        <v>1311.04</v>
      </c>
      <c r="F33" s="50">
        <v>1311.03</v>
      </c>
      <c r="G33" s="50">
        <v>1296.79</v>
      </c>
      <c r="H33" s="50">
        <v>1681.52</v>
      </c>
      <c r="I33" s="51"/>
      <c r="J33" s="51"/>
      <c r="K33" s="51"/>
      <c r="L33" s="51"/>
      <c r="M33" s="51"/>
      <c r="N33" s="77">
        <f>SUM(B33:M33)</f>
        <v>9856.85</v>
      </c>
      <c r="O33" s="78">
        <f>+N33/$N$37</f>
        <v>1.0257399085338063E-3</v>
      </c>
      <c r="R33" t="s">
        <v>180</v>
      </c>
      <c r="S33">
        <v>3444.08</v>
      </c>
    </row>
    <row r="34" spans="1:19" x14ac:dyDescent="0.3">
      <c r="A34" s="49" t="s">
        <v>180</v>
      </c>
      <c r="B34" s="50">
        <v>195</v>
      </c>
      <c r="C34" s="50">
        <v>1409.5800000000002</v>
      </c>
      <c r="D34" s="50">
        <v>747.98</v>
      </c>
      <c r="E34" s="50">
        <v>0</v>
      </c>
      <c r="F34" s="50">
        <v>1091.52</v>
      </c>
      <c r="G34" s="50">
        <v>174</v>
      </c>
      <c r="H34" s="50">
        <v>0</v>
      </c>
      <c r="I34" s="51"/>
      <c r="J34" s="51"/>
      <c r="K34" s="51"/>
      <c r="L34" s="51"/>
      <c r="M34" s="51"/>
      <c r="N34" s="77">
        <f>SUM(B34:M34)</f>
        <v>3618.0800000000004</v>
      </c>
      <c r="O34" s="78">
        <f>+N34/$N$37</f>
        <v>3.7651065485099134E-4</v>
      </c>
      <c r="R34" t="s">
        <v>160</v>
      </c>
      <c r="S34">
        <v>174</v>
      </c>
    </row>
    <row r="35" spans="1:19" x14ac:dyDescent="0.3">
      <c r="A35" s="49" t="s">
        <v>1203</v>
      </c>
      <c r="B35" s="50">
        <v>0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1260</v>
      </c>
      <c r="I35" s="51"/>
      <c r="J35" s="51"/>
      <c r="K35" s="51"/>
      <c r="L35" s="51"/>
      <c r="M35" s="51"/>
      <c r="N35" s="77">
        <f>SUM(B35:M35)</f>
        <v>1260</v>
      </c>
      <c r="O35" s="78">
        <f>+N35/$N$37</f>
        <v>1.3112021434358805E-4</v>
      </c>
      <c r="R35" t="s">
        <v>255</v>
      </c>
      <c r="S35">
        <v>300</v>
      </c>
    </row>
    <row r="36" spans="1:19" x14ac:dyDescent="0.3">
      <c r="A36" s="49" t="s">
        <v>160</v>
      </c>
      <c r="B36" s="50">
        <v>174</v>
      </c>
      <c r="C36" s="50"/>
      <c r="D36" s="50">
        <v>0</v>
      </c>
      <c r="E36" s="50">
        <v>0</v>
      </c>
      <c r="F36" s="50">
        <v>0</v>
      </c>
      <c r="G36" s="50"/>
      <c r="H36" s="50">
        <v>155.83000000000001</v>
      </c>
      <c r="I36" s="51"/>
      <c r="J36" s="51"/>
      <c r="K36" s="51"/>
      <c r="L36" s="51"/>
      <c r="M36" s="51"/>
      <c r="N36" s="77">
        <f>SUM(B36:M36)</f>
        <v>329.83000000000004</v>
      </c>
      <c r="O36" s="78">
        <f>+N36/$N$37</f>
        <v>3.4323317695988613E-5</v>
      </c>
      <c r="R36" t="s">
        <v>255</v>
      </c>
      <c r="S36">
        <v>300</v>
      </c>
    </row>
    <row r="37" spans="1:19" ht="23.4" customHeight="1" thickBot="1" x14ac:dyDescent="0.35">
      <c r="A37" s="45" t="s">
        <v>259</v>
      </c>
      <c r="B37" s="46">
        <f t="shared" ref="B37:N37" si="0">SUM(B3:B36)</f>
        <v>1660050.3299999996</v>
      </c>
      <c r="C37" s="46">
        <f t="shared" si="0"/>
        <v>1259904.0499999996</v>
      </c>
      <c r="D37" s="46">
        <f t="shared" si="0"/>
        <v>1350532.5200000003</v>
      </c>
      <c r="E37" s="46">
        <f t="shared" si="0"/>
        <v>1219130.53</v>
      </c>
      <c r="F37" s="46">
        <f t="shared" si="0"/>
        <v>1266003.3099999998</v>
      </c>
      <c r="G37" s="46">
        <f t="shared" si="0"/>
        <v>1305267.6299999999</v>
      </c>
      <c r="H37" s="46">
        <f>SUM(H3:H36)</f>
        <v>1548613.9199999997</v>
      </c>
      <c r="I37" s="46">
        <f t="shared" si="0"/>
        <v>0</v>
      </c>
      <c r="J37" s="46">
        <f t="shared" si="0"/>
        <v>0</v>
      </c>
      <c r="K37" s="46">
        <f t="shared" si="0"/>
        <v>0</v>
      </c>
      <c r="L37" s="46">
        <f t="shared" si="0"/>
        <v>0</v>
      </c>
      <c r="M37" s="46">
        <f t="shared" si="0"/>
        <v>0</v>
      </c>
      <c r="N37" s="66">
        <f>SUM(N3:N36)</f>
        <v>9609502.2899999991</v>
      </c>
      <c r="O37" s="113">
        <f>SUM(O3:O36)</f>
        <v>1.0000000000000002</v>
      </c>
    </row>
    <row r="38" spans="1:19" x14ac:dyDescent="0.3">
      <c r="F38" s="7"/>
    </row>
    <row r="40" spans="1:19" x14ac:dyDescent="0.3">
      <c r="D40" s="7"/>
    </row>
    <row r="42" spans="1:19" x14ac:dyDescent="0.3">
      <c r="A42" t="s">
        <v>768</v>
      </c>
    </row>
    <row r="43" spans="1:19" x14ac:dyDescent="0.3">
      <c r="A43" t="s">
        <v>768</v>
      </c>
    </row>
  </sheetData>
  <sortState xmlns:xlrd2="http://schemas.microsoft.com/office/spreadsheetml/2017/richdata2" ref="A3:O36">
    <sortCondition descending="1" ref="N3:N36"/>
  </sortState>
  <mergeCells count="1">
    <mergeCell ref="A1:O1"/>
  </mergeCells>
  <phoneticPr fontId="26" type="noConversion"/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5E568-FB1D-4537-820D-B3E8DD2CB00C}">
  <dimension ref="A1:N46"/>
  <sheetViews>
    <sheetView tabSelected="1" topLeftCell="A21" zoomScale="85" zoomScaleNormal="85" workbookViewId="0">
      <selection activeCell="H38" sqref="H38"/>
    </sheetView>
  </sheetViews>
  <sheetFormatPr baseColWidth="10" defaultRowHeight="14.4" x14ac:dyDescent="0.3"/>
  <cols>
    <col min="1" max="1" width="32.44140625" customWidth="1"/>
    <col min="2" max="2" width="13.6640625" customWidth="1"/>
    <col min="3" max="3" width="16" customWidth="1"/>
    <col min="4" max="7" width="13.6640625" customWidth="1"/>
    <col min="8" max="8" width="15.77734375" customWidth="1"/>
    <col min="9" max="13" width="13.6640625" customWidth="1"/>
    <col min="14" max="14" width="15.88671875" customWidth="1"/>
  </cols>
  <sheetData>
    <row r="1" spans="1:14" hidden="1" x14ac:dyDescent="0.3">
      <c r="A1" s="104" t="s">
        <v>442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</row>
    <row r="2" spans="1:14" hidden="1" x14ac:dyDescent="0.3">
      <c r="A2" s="104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</row>
    <row r="3" spans="1:14" ht="15" hidden="1" thickBot="1" x14ac:dyDescent="0.35">
      <c r="A3" s="9" t="s">
        <v>239</v>
      </c>
      <c r="B3" s="9" t="s">
        <v>240</v>
      </c>
      <c r="C3" s="9" t="s">
        <v>241</v>
      </c>
      <c r="D3" s="9" t="s">
        <v>242</v>
      </c>
      <c r="E3" s="9" t="s">
        <v>243</v>
      </c>
      <c r="F3" s="9" t="s">
        <v>244</v>
      </c>
      <c r="G3" s="9" t="s">
        <v>245</v>
      </c>
      <c r="H3" s="9" t="s">
        <v>246</v>
      </c>
      <c r="I3" s="9" t="s">
        <v>247</v>
      </c>
      <c r="J3" s="9" t="s">
        <v>248</v>
      </c>
      <c r="K3" s="9" t="s">
        <v>249</v>
      </c>
      <c r="L3" s="9" t="s">
        <v>250</v>
      </c>
      <c r="M3" s="9" t="s">
        <v>251</v>
      </c>
      <c r="N3" s="10" t="s">
        <v>252</v>
      </c>
    </row>
    <row r="4" spans="1:14" ht="15.6" hidden="1" x14ac:dyDescent="0.3">
      <c r="A4" s="11" t="s">
        <v>70</v>
      </c>
      <c r="B4" s="12">
        <v>0</v>
      </c>
      <c r="C4" s="12">
        <v>11766.89</v>
      </c>
      <c r="D4" s="13">
        <v>0</v>
      </c>
      <c r="E4" s="12">
        <v>0</v>
      </c>
      <c r="F4" s="13">
        <v>0</v>
      </c>
      <c r="G4" s="12"/>
      <c r="H4" s="13"/>
      <c r="I4" s="12"/>
      <c r="J4" s="13"/>
      <c r="K4" s="14"/>
      <c r="L4" s="13"/>
      <c r="M4" s="12"/>
      <c r="N4" s="15">
        <f>SUM(B4:M4)</f>
        <v>11766.89</v>
      </c>
    </row>
    <row r="5" spans="1:14" ht="15.6" hidden="1" x14ac:dyDescent="0.3">
      <c r="A5" s="11" t="s">
        <v>253</v>
      </c>
      <c r="B5" s="12"/>
      <c r="C5" s="12"/>
      <c r="D5" s="12"/>
      <c r="E5" s="12"/>
      <c r="F5" s="12"/>
      <c r="G5" s="12">
        <v>1699.6899999999998</v>
      </c>
      <c r="H5" s="13">
        <v>1056.48</v>
      </c>
      <c r="I5" s="12"/>
      <c r="J5" s="13"/>
      <c r="K5" s="16"/>
      <c r="L5" s="13"/>
      <c r="M5" s="12"/>
      <c r="N5" s="15"/>
    </row>
    <row r="6" spans="1:14" ht="15.6" hidden="1" x14ac:dyDescent="0.3">
      <c r="A6" s="11" t="s">
        <v>254</v>
      </c>
      <c r="B6" s="12">
        <v>159</v>
      </c>
      <c r="C6" s="12">
        <v>426.5</v>
      </c>
      <c r="D6" s="13">
        <v>2122.5</v>
      </c>
      <c r="E6" s="12">
        <v>655</v>
      </c>
      <c r="F6" s="13">
        <f>1094.33+67</f>
        <v>1161.33</v>
      </c>
      <c r="G6" s="12">
        <v>421</v>
      </c>
      <c r="H6" s="13">
        <v>311.5</v>
      </c>
      <c r="I6" s="12">
        <v>440.5</v>
      </c>
      <c r="J6" s="13">
        <v>282.95</v>
      </c>
      <c r="K6" s="12">
        <v>1036</v>
      </c>
      <c r="L6" s="13">
        <v>965.67</v>
      </c>
      <c r="M6" s="12">
        <v>3497</v>
      </c>
      <c r="N6" s="15">
        <f>SUM(B6:M6)</f>
        <v>11478.95</v>
      </c>
    </row>
    <row r="7" spans="1:14" ht="15.6" hidden="1" x14ac:dyDescent="0.3">
      <c r="A7" s="11" t="s">
        <v>169</v>
      </c>
      <c r="B7" s="12">
        <v>0</v>
      </c>
      <c r="C7" s="12">
        <v>1192.94</v>
      </c>
      <c r="D7" s="13"/>
      <c r="E7" s="12"/>
      <c r="F7" s="13">
        <v>0</v>
      </c>
      <c r="G7" s="12"/>
      <c r="H7" s="13"/>
      <c r="I7" s="12"/>
      <c r="J7" s="13"/>
      <c r="K7" s="12"/>
      <c r="L7" s="13"/>
      <c r="M7" s="12"/>
      <c r="N7" s="15">
        <f t="shared" ref="N7:N12" si="0">SUM(B7:M7)</f>
        <v>1192.94</v>
      </c>
    </row>
    <row r="8" spans="1:14" ht="15.6" hidden="1" x14ac:dyDescent="0.3">
      <c r="A8" s="11" t="s">
        <v>218</v>
      </c>
      <c r="B8" s="12">
        <v>0</v>
      </c>
      <c r="C8" s="12">
        <v>1077.28</v>
      </c>
      <c r="D8" s="13">
        <v>666</v>
      </c>
      <c r="E8" s="12">
        <v>2102.9899999999998</v>
      </c>
      <c r="F8" s="13">
        <v>1381.23</v>
      </c>
      <c r="G8" s="12">
        <v>630.34</v>
      </c>
      <c r="H8" s="13">
        <v>606.85</v>
      </c>
      <c r="I8" s="12">
        <v>799.46</v>
      </c>
      <c r="J8" s="13">
        <v>928.56</v>
      </c>
      <c r="K8" s="12">
        <v>1109.98</v>
      </c>
      <c r="L8" s="13">
        <v>1102.49</v>
      </c>
      <c r="M8" s="12">
        <v>1341.74</v>
      </c>
      <c r="N8" s="15">
        <f t="shared" si="0"/>
        <v>11746.92</v>
      </c>
    </row>
    <row r="9" spans="1:14" ht="15.6" hidden="1" x14ac:dyDescent="0.3">
      <c r="A9" s="11" t="s">
        <v>29</v>
      </c>
      <c r="B9" s="12">
        <v>2200</v>
      </c>
      <c r="C9" s="12">
        <v>2200</v>
      </c>
      <c r="D9" s="12">
        <v>2200</v>
      </c>
      <c r="E9" s="12">
        <v>2200</v>
      </c>
      <c r="F9" s="12">
        <v>5195</v>
      </c>
      <c r="G9" s="12">
        <v>4500</v>
      </c>
      <c r="H9" s="12"/>
      <c r="I9" s="12">
        <v>400</v>
      </c>
      <c r="J9" s="12">
        <v>3276</v>
      </c>
      <c r="K9" s="12">
        <v>4142</v>
      </c>
      <c r="L9" s="12">
        <v>11946</v>
      </c>
      <c r="M9" s="12">
        <v>1673</v>
      </c>
      <c r="N9" s="15">
        <f t="shared" si="0"/>
        <v>39932</v>
      </c>
    </row>
    <row r="10" spans="1:14" ht="15.6" hidden="1" x14ac:dyDescent="0.3">
      <c r="A10" s="11" t="s">
        <v>163</v>
      </c>
      <c r="B10" s="12">
        <v>301</v>
      </c>
      <c r="C10" s="12"/>
      <c r="D10" s="13"/>
      <c r="E10" s="12">
        <v>411.6</v>
      </c>
      <c r="F10" s="13">
        <v>0</v>
      </c>
      <c r="G10" s="12"/>
      <c r="H10" s="13"/>
      <c r="I10" s="12"/>
      <c r="J10" s="13"/>
      <c r="K10" s="12"/>
      <c r="L10" s="12"/>
      <c r="M10" s="12">
        <v>132.30000000000001</v>
      </c>
      <c r="N10" s="15">
        <f t="shared" si="0"/>
        <v>844.90000000000009</v>
      </c>
    </row>
    <row r="11" spans="1:14" ht="15.6" hidden="1" x14ac:dyDescent="0.3">
      <c r="A11" s="11" t="s">
        <v>55</v>
      </c>
      <c r="B11" s="12">
        <v>8898</v>
      </c>
      <c r="C11" s="12">
        <v>8120</v>
      </c>
      <c r="D11" s="13">
        <v>8120</v>
      </c>
      <c r="E11" s="12">
        <v>6960</v>
      </c>
      <c r="F11" s="13">
        <v>10069</v>
      </c>
      <c r="G11" s="12">
        <v>4602.9400000000005</v>
      </c>
      <c r="H11" s="13"/>
      <c r="I11" s="12">
        <v>4369.68</v>
      </c>
      <c r="J11" s="13"/>
      <c r="K11" s="12">
        <v>8640</v>
      </c>
      <c r="L11" s="12"/>
      <c r="M11" s="12"/>
      <c r="N11" s="15">
        <f>SUM(B11:M11)</f>
        <v>59779.62</v>
      </c>
    </row>
    <row r="12" spans="1:14" ht="15.6" hidden="1" x14ac:dyDescent="0.3">
      <c r="A12" s="11" t="s">
        <v>255</v>
      </c>
      <c r="B12" s="12">
        <v>162</v>
      </c>
      <c r="C12" s="12"/>
      <c r="D12" s="13">
        <v>40</v>
      </c>
      <c r="E12" s="12">
        <v>13998.4</v>
      </c>
      <c r="F12" s="13">
        <f>18172.98+245.51</f>
        <v>18418.489999999998</v>
      </c>
      <c r="G12" s="17"/>
      <c r="H12" s="18"/>
      <c r="I12" s="12">
        <v>30244.85</v>
      </c>
      <c r="J12" s="19">
        <v>34470</v>
      </c>
      <c r="K12" s="20">
        <v>7825</v>
      </c>
      <c r="L12" s="20">
        <v>17819</v>
      </c>
      <c r="M12" s="20">
        <f>13572+755</f>
        <v>14327</v>
      </c>
      <c r="N12" s="15">
        <f t="shared" si="0"/>
        <v>137304.74</v>
      </c>
    </row>
    <row r="13" spans="1:14" ht="15.6" hidden="1" x14ac:dyDescent="0.3">
      <c r="A13" s="11" t="s">
        <v>25</v>
      </c>
      <c r="B13" s="12">
        <v>50113.57</v>
      </c>
      <c r="C13" s="12">
        <v>43649.060000000005</v>
      </c>
      <c r="D13" s="13">
        <v>46229.860000000008</v>
      </c>
      <c r="E13" s="12">
        <v>53691.73</v>
      </c>
      <c r="F13" s="13">
        <v>51464.7</v>
      </c>
      <c r="G13" s="20">
        <v>41171.760000000002</v>
      </c>
      <c r="H13" s="19">
        <v>41047.81</v>
      </c>
      <c r="I13" s="20">
        <v>51382.74</v>
      </c>
      <c r="J13" s="19">
        <v>41129.780000000006</v>
      </c>
      <c r="K13" s="20">
        <v>52582.1</v>
      </c>
      <c r="L13" s="19">
        <v>43243.399999999994</v>
      </c>
      <c r="M13" s="20">
        <v>64250.899999999994</v>
      </c>
      <c r="N13" s="15">
        <f>SUM(B13:M13)</f>
        <v>579957.41</v>
      </c>
    </row>
    <row r="14" spans="1:14" ht="15.6" hidden="1" x14ac:dyDescent="0.3">
      <c r="A14" s="11" t="s">
        <v>256</v>
      </c>
      <c r="B14" s="12"/>
      <c r="C14" s="12"/>
      <c r="D14" s="13"/>
      <c r="E14" s="12"/>
      <c r="F14" s="13"/>
      <c r="G14" s="20"/>
      <c r="H14" s="19">
        <v>18167.32</v>
      </c>
      <c r="I14" s="20"/>
      <c r="J14" s="19"/>
      <c r="K14" s="20"/>
      <c r="L14" s="19"/>
      <c r="M14" s="20"/>
      <c r="N14" s="15">
        <f>SUM(B14:M14)</f>
        <v>18167.32</v>
      </c>
    </row>
    <row r="15" spans="1:14" ht="15.6" hidden="1" x14ac:dyDescent="0.3">
      <c r="A15" s="11" t="s">
        <v>257</v>
      </c>
      <c r="B15" s="12">
        <f>2960.5+1010.49</f>
        <v>3970.99</v>
      </c>
      <c r="C15" s="12">
        <f>3188.69+6242.36+888.24</f>
        <v>10319.289999999999</v>
      </c>
      <c r="D15" s="13">
        <f>2920.79+599.72</f>
        <v>3520.51</v>
      </c>
      <c r="E15" s="12">
        <f>3233.74+7401.19+599.72</f>
        <v>11234.65</v>
      </c>
      <c r="F15" s="13">
        <f>3129.44+7461.3+1017.4</f>
        <v>11608.14</v>
      </c>
      <c r="G15" s="12">
        <f>3233.74+813.92</f>
        <v>4047.66</v>
      </c>
      <c r="H15" s="19">
        <v>10590.74</v>
      </c>
      <c r="I15" s="20">
        <f>3233.44+1014.9</f>
        <v>4248.34</v>
      </c>
      <c r="J15" s="19">
        <v>11630.01</v>
      </c>
      <c r="K15" s="12">
        <v>4180.38</v>
      </c>
      <c r="L15" s="19">
        <v>11884.84</v>
      </c>
      <c r="M15" s="12">
        <v>4613.5200000000004</v>
      </c>
      <c r="N15" s="15">
        <f t="shared" ref="N15:N16" si="1">SUM(B15:M15)</f>
        <v>91849.07</v>
      </c>
    </row>
    <row r="16" spans="1:14" ht="15.6" hidden="1" x14ac:dyDescent="0.3">
      <c r="A16" s="21" t="s">
        <v>258</v>
      </c>
      <c r="B16" s="22">
        <v>0</v>
      </c>
      <c r="C16" s="22">
        <v>1861.2</v>
      </c>
      <c r="D16" s="23">
        <v>3085.46</v>
      </c>
      <c r="E16" s="22">
        <v>2023.26</v>
      </c>
      <c r="F16" s="23">
        <v>0</v>
      </c>
      <c r="G16" s="24">
        <v>0</v>
      </c>
      <c r="H16" s="25">
        <v>0</v>
      </c>
      <c r="I16" s="26"/>
      <c r="J16" s="27"/>
      <c r="K16" s="26"/>
      <c r="L16" s="27"/>
      <c r="M16" s="26"/>
      <c r="N16" s="15">
        <f t="shared" si="1"/>
        <v>6969.92</v>
      </c>
    </row>
    <row r="17" spans="1:14" ht="16.2" hidden="1" thickBot="1" x14ac:dyDescent="0.35">
      <c r="A17" s="21" t="s">
        <v>22</v>
      </c>
      <c r="B17" s="22"/>
      <c r="C17" s="22">
        <v>2694</v>
      </c>
      <c r="D17" s="23"/>
      <c r="E17" s="22"/>
      <c r="F17" s="23">
        <v>0</v>
      </c>
      <c r="G17" s="24">
        <v>0</v>
      </c>
      <c r="H17" s="25">
        <v>0</v>
      </c>
      <c r="I17" s="26"/>
      <c r="J17" s="27"/>
      <c r="K17" s="26"/>
      <c r="L17" s="27"/>
      <c r="M17" s="26"/>
      <c r="N17" s="15">
        <f>SUM(B17:M17)</f>
        <v>2694</v>
      </c>
    </row>
    <row r="18" spans="1:14" ht="21.6" hidden="1" thickBot="1" x14ac:dyDescent="0.35">
      <c r="A18" s="28" t="s">
        <v>259</v>
      </c>
      <c r="B18" s="29">
        <f t="shared" ref="B18:M18" si="2">SUM(B4:B17)</f>
        <v>65804.56</v>
      </c>
      <c r="C18" s="29">
        <f>SUM(C4:C17)</f>
        <v>83307.16</v>
      </c>
      <c r="D18" s="30">
        <f t="shared" si="2"/>
        <v>65984.330000000016</v>
      </c>
      <c r="E18" s="29">
        <f t="shared" si="2"/>
        <v>93277.62999999999</v>
      </c>
      <c r="F18" s="30">
        <f t="shared" si="2"/>
        <v>99297.89</v>
      </c>
      <c r="G18" s="29">
        <f t="shared" si="2"/>
        <v>57073.39</v>
      </c>
      <c r="H18" s="30">
        <f t="shared" si="2"/>
        <v>71780.7</v>
      </c>
      <c r="I18" s="29">
        <f t="shared" si="2"/>
        <v>91885.569999999992</v>
      </c>
      <c r="J18" s="30">
        <f t="shared" si="2"/>
        <v>91717.3</v>
      </c>
      <c r="K18" s="29">
        <f t="shared" si="2"/>
        <v>79515.460000000006</v>
      </c>
      <c r="L18" s="30">
        <f>SUM(L4:L17)</f>
        <v>86961.4</v>
      </c>
      <c r="M18" s="29">
        <f t="shared" si="2"/>
        <v>89835.46</v>
      </c>
      <c r="N18" s="29">
        <f>SUM(B18:M18)</f>
        <v>976440.85</v>
      </c>
    </row>
    <row r="19" spans="1:14" ht="21.6" hidden="1" thickBot="1" x14ac:dyDescent="0.35">
      <c r="A19" s="28" t="s">
        <v>261</v>
      </c>
      <c r="B19" s="29">
        <v>46077.72</v>
      </c>
      <c r="C19" s="29">
        <v>40750.99</v>
      </c>
      <c r="D19" s="30">
        <v>44661.1</v>
      </c>
      <c r="E19" s="29">
        <v>38585.629999999997</v>
      </c>
      <c r="F19" s="30">
        <v>59254.45</v>
      </c>
      <c r="G19" s="29">
        <v>33066.19</v>
      </c>
      <c r="H19" s="30">
        <v>53145.14</v>
      </c>
      <c r="I19" s="29">
        <v>52333.3</v>
      </c>
      <c r="J19" s="30">
        <v>38338.61</v>
      </c>
      <c r="K19" s="29">
        <v>39210.730000000003</v>
      </c>
      <c r="L19" s="30">
        <v>49880.42</v>
      </c>
      <c r="M19" s="29">
        <v>27745.32</v>
      </c>
      <c r="N19" s="29">
        <f>SUM(B19:M19)</f>
        <v>523049.6</v>
      </c>
    </row>
    <row r="20" spans="1:14" ht="21.6" hidden="1" thickBot="1" x14ac:dyDescent="0.35">
      <c r="A20" s="57"/>
      <c r="B20" s="58">
        <f>+B19-B18</f>
        <v>-19726.839999999997</v>
      </c>
      <c r="C20" s="58">
        <f t="shared" ref="C20:M20" si="3">+C19-C18</f>
        <v>-42556.170000000006</v>
      </c>
      <c r="D20" s="58">
        <f t="shared" si="3"/>
        <v>-21323.230000000018</v>
      </c>
      <c r="E20" s="58">
        <f t="shared" si="3"/>
        <v>-54691.999999999993</v>
      </c>
      <c r="F20" s="58">
        <f t="shared" si="3"/>
        <v>-40043.440000000002</v>
      </c>
      <c r="G20" s="58">
        <f t="shared" si="3"/>
        <v>-24007.199999999997</v>
      </c>
      <c r="H20" s="58">
        <f t="shared" si="3"/>
        <v>-18635.559999999998</v>
      </c>
      <c r="I20" s="58">
        <f t="shared" si="3"/>
        <v>-39552.26999999999</v>
      </c>
      <c r="J20" s="58">
        <f t="shared" si="3"/>
        <v>-53378.69</v>
      </c>
      <c r="K20" s="58">
        <f t="shared" si="3"/>
        <v>-40304.730000000003</v>
      </c>
      <c r="L20" s="58">
        <f t="shared" si="3"/>
        <v>-37080.979999999996</v>
      </c>
      <c r="M20" s="58">
        <f t="shared" si="3"/>
        <v>-62090.140000000007</v>
      </c>
      <c r="N20" s="59">
        <f>SUM(B20:M20)</f>
        <v>-453391.25</v>
      </c>
    </row>
    <row r="21" spans="1:14" x14ac:dyDescent="0.3">
      <c r="A21" s="53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</row>
    <row r="22" spans="1:14" ht="29.4" customHeight="1" x14ac:dyDescent="0.3">
      <c r="A22" s="110" t="s">
        <v>260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</row>
    <row r="23" spans="1:14" x14ac:dyDescent="0.3">
      <c r="A23" s="110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</row>
    <row r="24" spans="1:14" ht="15" thickBot="1" x14ac:dyDescent="0.35">
      <c r="A24" s="9" t="s">
        <v>239</v>
      </c>
      <c r="B24" s="9" t="s">
        <v>240</v>
      </c>
      <c r="C24" s="9" t="s">
        <v>241</v>
      </c>
      <c r="D24" s="9" t="s">
        <v>242</v>
      </c>
      <c r="E24" s="9" t="s">
        <v>243</v>
      </c>
      <c r="F24" s="9" t="s">
        <v>244</v>
      </c>
      <c r="G24" s="9" t="s">
        <v>245</v>
      </c>
      <c r="H24" s="9" t="s">
        <v>246</v>
      </c>
      <c r="I24" s="9" t="s">
        <v>247</v>
      </c>
      <c r="J24" s="9" t="s">
        <v>248</v>
      </c>
      <c r="K24" s="9" t="s">
        <v>249</v>
      </c>
      <c r="L24" s="9" t="s">
        <v>250</v>
      </c>
      <c r="M24" s="9" t="s">
        <v>251</v>
      </c>
      <c r="N24" s="10" t="s">
        <v>252</v>
      </c>
    </row>
    <row r="25" spans="1:14" ht="15.6" x14ac:dyDescent="0.3">
      <c r="A25" s="11" t="s">
        <v>70</v>
      </c>
      <c r="B25" s="31">
        <v>0</v>
      </c>
      <c r="C25" s="31">
        <v>29240.71</v>
      </c>
      <c r="D25" s="32">
        <v>0</v>
      </c>
      <c r="E25" s="31">
        <v>0</v>
      </c>
      <c r="F25" s="32">
        <v>0</v>
      </c>
      <c r="G25" s="31">
        <v>0</v>
      </c>
      <c r="H25" s="32">
        <v>0</v>
      </c>
      <c r="I25" s="31"/>
      <c r="J25" s="32"/>
      <c r="K25" s="33"/>
      <c r="L25" s="32"/>
      <c r="M25" s="31"/>
      <c r="N25" s="15">
        <f t="shared" ref="N25:N37" si="4">SUM(B25:M25)</f>
        <v>29240.71</v>
      </c>
    </row>
    <row r="26" spans="1:14" ht="15.6" x14ac:dyDescent="0.3">
      <c r="A26" s="11" t="s">
        <v>253</v>
      </c>
      <c r="B26" s="31">
        <v>0</v>
      </c>
      <c r="C26" s="31">
        <v>2333.38</v>
      </c>
      <c r="D26" s="31">
        <v>4239.9799999999996</v>
      </c>
      <c r="E26" s="31">
        <v>2244.08</v>
      </c>
      <c r="F26" s="31">
        <v>1590.79</v>
      </c>
      <c r="G26" s="31">
        <v>3553.39</v>
      </c>
      <c r="H26" s="32">
        <v>2963.05</v>
      </c>
      <c r="I26" s="31"/>
      <c r="J26" s="32"/>
      <c r="K26" s="34"/>
      <c r="L26" s="32"/>
      <c r="M26" s="31"/>
      <c r="N26" s="15">
        <f t="shared" si="4"/>
        <v>16924.669999999998</v>
      </c>
    </row>
    <row r="27" spans="1:14" ht="15.6" x14ac:dyDescent="0.3">
      <c r="A27" s="11" t="s">
        <v>254</v>
      </c>
      <c r="B27" s="31">
        <v>1294</v>
      </c>
      <c r="C27" s="31">
        <v>960</v>
      </c>
      <c r="D27" s="32">
        <v>4143.25</v>
      </c>
      <c r="E27" s="31">
        <v>1039</v>
      </c>
      <c r="F27" s="32">
        <v>531.6</v>
      </c>
      <c r="G27" s="31">
        <v>1227.0999999999999</v>
      </c>
      <c r="H27" s="32">
        <v>1557.1599999999999</v>
      </c>
      <c r="I27" s="31"/>
      <c r="J27" s="32"/>
      <c r="K27" s="31"/>
      <c r="L27" s="32"/>
      <c r="M27" s="31"/>
      <c r="N27" s="15">
        <f t="shared" si="4"/>
        <v>10752.11</v>
      </c>
    </row>
    <row r="28" spans="1:14" ht="15.6" x14ac:dyDescent="0.3">
      <c r="A28" s="11" t="s">
        <v>169</v>
      </c>
      <c r="B28" s="31">
        <v>2257</v>
      </c>
      <c r="C28" s="31">
        <v>0</v>
      </c>
      <c r="D28" s="32">
        <v>0</v>
      </c>
      <c r="E28" s="31">
        <v>0</v>
      </c>
      <c r="F28" s="32">
        <v>0</v>
      </c>
      <c r="G28" s="31">
        <v>0</v>
      </c>
      <c r="H28" s="32">
        <v>0</v>
      </c>
      <c r="I28" s="31"/>
      <c r="J28" s="32"/>
      <c r="K28" s="31"/>
      <c r="L28" s="32"/>
      <c r="M28" s="31"/>
      <c r="N28" s="15">
        <f t="shared" si="4"/>
        <v>2257</v>
      </c>
    </row>
    <row r="29" spans="1:14" ht="15.6" x14ac:dyDescent="0.3">
      <c r="A29" s="11" t="s">
        <v>218</v>
      </c>
      <c r="B29" s="31">
        <v>1403.17</v>
      </c>
      <c r="C29" s="31">
        <v>1809.0700000000002</v>
      </c>
      <c r="D29" s="32">
        <v>1022.28</v>
      </c>
      <c r="E29" s="31">
        <v>215</v>
      </c>
      <c r="F29" s="32">
        <v>555.5</v>
      </c>
      <c r="G29" s="31">
        <v>978.09</v>
      </c>
      <c r="H29" s="32">
        <v>0</v>
      </c>
      <c r="I29" s="31"/>
      <c r="J29" s="32"/>
      <c r="K29" s="31"/>
      <c r="L29" s="32"/>
      <c r="M29" s="31"/>
      <c r="N29" s="15">
        <f t="shared" si="4"/>
        <v>5983.1100000000006</v>
      </c>
    </row>
    <row r="30" spans="1:14" ht="15.6" x14ac:dyDescent="0.3">
      <c r="A30" s="11" t="s">
        <v>29</v>
      </c>
      <c r="B30" s="31">
        <v>8735</v>
      </c>
      <c r="C30" s="31">
        <v>0</v>
      </c>
      <c r="D30" s="31">
        <v>6972</v>
      </c>
      <c r="E30" s="31">
        <v>1125</v>
      </c>
      <c r="F30" s="31">
        <v>10721</v>
      </c>
      <c r="G30" s="31">
        <v>900</v>
      </c>
      <c r="H30" s="31">
        <v>10055</v>
      </c>
      <c r="I30" s="31"/>
      <c r="J30" s="31"/>
      <c r="K30" s="31"/>
      <c r="L30" s="31"/>
      <c r="M30" s="31"/>
      <c r="N30" s="15">
        <f t="shared" si="4"/>
        <v>38508</v>
      </c>
    </row>
    <row r="31" spans="1:14" ht="15.6" x14ac:dyDescent="0.3">
      <c r="A31" s="11" t="s">
        <v>163</v>
      </c>
      <c r="B31" s="31">
        <v>815.7</v>
      </c>
      <c r="C31" s="31">
        <v>0</v>
      </c>
      <c r="D31" s="32">
        <v>418.65</v>
      </c>
      <c r="E31" s="31">
        <v>0</v>
      </c>
      <c r="F31" s="32">
        <v>0</v>
      </c>
      <c r="G31" s="31">
        <v>119.8</v>
      </c>
      <c r="H31" s="32">
        <v>0</v>
      </c>
      <c r="I31" s="31"/>
      <c r="J31" s="32"/>
      <c r="K31" s="31"/>
      <c r="L31" s="31"/>
      <c r="M31" s="31"/>
      <c r="N31" s="15">
        <f t="shared" si="4"/>
        <v>1354.1499999999999</v>
      </c>
    </row>
    <row r="32" spans="1:14" ht="15.6" x14ac:dyDescent="0.3">
      <c r="A32" s="11" t="s">
        <v>55</v>
      </c>
      <c r="B32" s="31">
        <v>1156.01</v>
      </c>
      <c r="C32" s="31">
        <v>11066.2</v>
      </c>
      <c r="D32" s="32">
        <v>14478.95</v>
      </c>
      <c r="E32" s="31">
        <v>0</v>
      </c>
      <c r="F32" s="32">
        <v>0</v>
      </c>
      <c r="G32" s="31">
        <v>2320</v>
      </c>
      <c r="H32" s="32">
        <v>1160</v>
      </c>
      <c r="I32" s="31"/>
      <c r="J32" s="32"/>
      <c r="K32" s="31"/>
      <c r="L32" s="31"/>
      <c r="M32" s="31"/>
      <c r="N32" s="15">
        <f t="shared" si="4"/>
        <v>30181.160000000003</v>
      </c>
    </row>
    <row r="33" spans="1:14" ht="15.6" x14ac:dyDescent="0.3">
      <c r="A33" s="11" t="s">
        <v>255</v>
      </c>
      <c r="B33" s="31">
        <v>12329.91</v>
      </c>
      <c r="C33" s="31">
        <v>0</v>
      </c>
      <c r="D33" s="32">
        <v>295</v>
      </c>
      <c r="E33" s="31">
        <v>0</v>
      </c>
      <c r="F33" s="32">
        <v>0</v>
      </c>
      <c r="G33" s="17">
        <v>0</v>
      </c>
      <c r="H33" s="35">
        <v>0</v>
      </c>
      <c r="I33" s="31"/>
      <c r="J33" s="36"/>
      <c r="K33" s="37"/>
      <c r="L33" s="37"/>
      <c r="M33" s="37"/>
      <c r="N33" s="15">
        <f t="shared" si="4"/>
        <v>12624.91</v>
      </c>
    </row>
    <row r="34" spans="1:14" ht="15.6" x14ac:dyDescent="0.3">
      <c r="A34" s="11" t="s">
        <v>25</v>
      </c>
      <c r="B34" s="31">
        <v>57166.61</v>
      </c>
      <c r="C34" s="31">
        <v>43920.28</v>
      </c>
      <c r="D34" s="32">
        <v>34565.449999999997</v>
      </c>
      <c r="E34" s="31">
        <v>40954.03</v>
      </c>
      <c r="F34" s="32">
        <v>31382.799999999999</v>
      </c>
      <c r="G34" s="37">
        <v>31527.64</v>
      </c>
      <c r="H34" s="36">
        <v>49330.06</v>
      </c>
      <c r="I34" s="37"/>
      <c r="J34" s="36"/>
      <c r="K34" s="37"/>
      <c r="L34" s="36"/>
      <c r="M34" s="37"/>
      <c r="N34" s="15">
        <f t="shared" si="4"/>
        <v>288846.87</v>
      </c>
    </row>
    <row r="35" spans="1:14" ht="15.6" x14ac:dyDescent="0.3">
      <c r="A35" s="11" t="s">
        <v>257</v>
      </c>
      <c r="B35" s="31">
        <v>12928.25</v>
      </c>
      <c r="C35" s="31">
        <v>4550.68</v>
      </c>
      <c r="D35" s="32">
        <v>12731.99</v>
      </c>
      <c r="E35" s="31">
        <v>5798.92</v>
      </c>
      <c r="F35" s="32">
        <v>9001.93</v>
      </c>
      <c r="G35" s="31">
        <v>2335.86</v>
      </c>
      <c r="H35" s="36">
        <v>4895.7</v>
      </c>
      <c r="I35" s="37"/>
      <c r="J35" s="36"/>
      <c r="K35" s="31"/>
      <c r="L35" s="36"/>
      <c r="M35" s="31"/>
      <c r="N35" s="15">
        <f t="shared" si="4"/>
        <v>52243.329999999994</v>
      </c>
    </row>
    <row r="36" spans="1:14" ht="15.6" x14ac:dyDescent="0.3">
      <c r="A36" s="21" t="s">
        <v>258</v>
      </c>
      <c r="B36" s="38">
        <v>0</v>
      </c>
      <c r="C36" s="38">
        <v>7844.82</v>
      </c>
      <c r="D36" s="39">
        <v>7665.33</v>
      </c>
      <c r="E36" s="38">
        <v>22999.29</v>
      </c>
      <c r="F36" s="39">
        <v>12895.25</v>
      </c>
      <c r="G36" s="40">
        <v>0</v>
      </c>
      <c r="H36" s="41">
        <f>30386.05+7663.5</f>
        <v>38049.550000000003</v>
      </c>
      <c r="I36" s="26"/>
      <c r="J36" s="27"/>
      <c r="K36" s="26"/>
      <c r="L36" s="27"/>
      <c r="M36" s="26"/>
      <c r="N36" s="15">
        <f t="shared" si="4"/>
        <v>89454.24</v>
      </c>
    </row>
    <row r="37" spans="1:14" ht="16.2" thickBot="1" x14ac:dyDescent="0.35">
      <c r="A37" s="21" t="s">
        <v>22</v>
      </c>
      <c r="B37" s="38">
        <v>0</v>
      </c>
      <c r="C37" s="38">
        <v>2709</v>
      </c>
      <c r="D37" s="39">
        <v>0</v>
      </c>
      <c r="E37" s="38">
        <v>0</v>
      </c>
      <c r="F37" s="39">
        <v>0</v>
      </c>
      <c r="G37" s="40">
        <v>0</v>
      </c>
      <c r="H37" s="41"/>
      <c r="I37" s="26"/>
      <c r="J37" s="27"/>
      <c r="K37" s="26"/>
      <c r="L37" s="27"/>
      <c r="M37" s="26"/>
      <c r="N37" s="15">
        <f t="shared" si="4"/>
        <v>2709</v>
      </c>
    </row>
    <row r="38" spans="1:14" ht="21.6" thickBot="1" x14ac:dyDescent="0.35">
      <c r="A38" s="28" t="s">
        <v>1205</v>
      </c>
      <c r="B38" s="29">
        <f t="shared" ref="B38:L38" si="5">SUM(B25:B37)</f>
        <v>98085.65</v>
      </c>
      <c r="C38" s="29">
        <f t="shared" si="5"/>
        <v>104434.14000000001</v>
      </c>
      <c r="D38" s="30">
        <f>SUM(D25:D37)</f>
        <v>86532.88</v>
      </c>
      <c r="E38" s="29">
        <f>SUM(E25:E37)</f>
        <v>74375.320000000007</v>
      </c>
      <c r="F38" s="30">
        <f t="shared" si="5"/>
        <v>66678.87</v>
      </c>
      <c r="G38" s="29">
        <f t="shared" si="5"/>
        <v>42961.880000000005</v>
      </c>
      <c r="H38" s="30">
        <f>SUM(H25:H37)</f>
        <v>108010.52</v>
      </c>
      <c r="I38" s="29">
        <f t="shared" si="5"/>
        <v>0</v>
      </c>
      <c r="J38" s="30">
        <f t="shared" si="5"/>
        <v>0</v>
      </c>
      <c r="K38" s="29">
        <f t="shared" si="5"/>
        <v>0</v>
      </c>
      <c r="L38" s="30">
        <f t="shared" si="5"/>
        <v>0</v>
      </c>
      <c r="M38" s="29">
        <f t="shared" ref="M38" si="6">SUM(M25:M37)</f>
        <v>0</v>
      </c>
      <c r="N38" s="29">
        <f>SUM(N25:N37)</f>
        <v>581079.26</v>
      </c>
    </row>
    <row r="39" spans="1:14" ht="18.600000000000001" thickBot="1" x14ac:dyDescent="0.35">
      <c r="A39" s="83" t="s">
        <v>261</v>
      </c>
      <c r="B39" s="84">
        <v>76766.16</v>
      </c>
      <c r="C39" s="84">
        <v>78871.490000000005</v>
      </c>
      <c r="D39" s="85">
        <v>72828.240000000005</v>
      </c>
      <c r="E39" s="84">
        <v>37490.92</v>
      </c>
      <c r="F39" s="85">
        <v>39887.94</v>
      </c>
      <c r="G39" s="84">
        <v>55365.91</v>
      </c>
      <c r="H39" s="85">
        <v>63056.33</v>
      </c>
      <c r="I39" s="84"/>
      <c r="J39" s="85"/>
      <c r="K39" s="84"/>
      <c r="L39" s="85"/>
      <c r="M39" s="84"/>
      <c r="N39" s="84">
        <f>SUM(B39:M39)</f>
        <v>424266.99000000005</v>
      </c>
    </row>
    <row r="40" spans="1:14" ht="24.6" customHeight="1" x14ac:dyDescent="0.3">
      <c r="B40" s="60">
        <f>+B39-B38</f>
        <v>-21319.489999999991</v>
      </c>
      <c r="C40" s="60">
        <f t="shared" ref="C40:M40" si="7">+C39-C38</f>
        <v>-25562.650000000009</v>
      </c>
      <c r="D40" s="60">
        <f t="shared" si="7"/>
        <v>-13704.64</v>
      </c>
      <c r="E40" s="60">
        <f t="shared" si="7"/>
        <v>-36884.400000000009</v>
      </c>
      <c r="F40" s="60">
        <f t="shared" si="7"/>
        <v>-26790.929999999993</v>
      </c>
      <c r="G40" s="86">
        <f t="shared" si="7"/>
        <v>12404.029999999999</v>
      </c>
      <c r="H40" s="60">
        <f>+H39-H38</f>
        <v>-44954.19</v>
      </c>
      <c r="I40" s="60">
        <f t="shared" si="7"/>
        <v>0</v>
      </c>
      <c r="J40" s="60">
        <f t="shared" si="7"/>
        <v>0</v>
      </c>
      <c r="K40" s="60">
        <f t="shared" si="7"/>
        <v>0</v>
      </c>
      <c r="L40" s="60">
        <f t="shared" si="7"/>
        <v>0</v>
      </c>
      <c r="M40" s="60">
        <f t="shared" si="7"/>
        <v>0</v>
      </c>
      <c r="N40" s="60">
        <f>SUM(B40:M40)</f>
        <v>-156812.27000000002</v>
      </c>
    </row>
    <row r="41" spans="1:14" ht="31.8" customHeight="1" thickBot="1" x14ac:dyDescent="0.35">
      <c r="A41" s="106" t="s">
        <v>894</v>
      </c>
      <c r="B41" s="107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107"/>
      <c r="N41" s="107"/>
    </row>
    <row r="42" spans="1:14" ht="24" customHeight="1" thickBot="1" x14ac:dyDescent="0.35">
      <c r="A42" s="75" t="s">
        <v>893</v>
      </c>
      <c r="B42" s="54" t="s">
        <v>240</v>
      </c>
      <c r="C42" s="55" t="s">
        <v>241</v>
      </c>
      <c r="D42" s="55" t="s">
        <v>242</v>
      </c>
      <c r="E42" s="55" t="s">
        <v>243</v>
      </c>
      <c r="F42" s="55" t="s">
        <v>244</v>
      </c>
      <c r="G42" s="55" t="s">
        <v>245</v>
      </c>
      <c r="H42" s="55" t="s">
        <v>246</v>
      </c>
      <c r="I42" s="55" t="s">
        <v>247</v>
      </c>
      <c r="J42" s="55" t="s">
        <v>248</v>
      </c>
      <c r="K42" s="55" t="s">
        <v>249</v>
      </c>
      <c r="L42" s="55" t="s">
        <v>250</v>
      </c>
      <c r="M42" s="56" t="s">
        <v>251</v>
      </c>
      <c r="N42" s="64" t="s">
        <v>252</v>
      </c>
    </row>
    <row r="43" spans="1:14" ht="26.4" thickBot="1" x14ac:dyDescent="0.35">
      <c r="A43" s="87">
        <v>2025</v>
      </c>
      <c r="B43" s="42">
        <v>65804.56</v>
      </c>
      <c r="C43" s="42">
        <v>83307.16</v>
      </c>
      <c r="D43" s="43">
        <v>65984.330000000016</v>
      </c>
      <c r="E43" s="42">
        <v>93277.62999999999</v>
      </c>
      <c r="F43" s="43">
        <v>99297.89</v>
      </c>
      <c r="G43" s="42">
        <v>57073.39</v>
      </c>
      <c r="H43" s="43">
        <v>71780.7</v>
      </c>
      <c r="I43" s="42">
        <v>91885.569999999992</v>
      </c>
      <c r="J43" s="43">
        <v>91717.3</v>
      </c>
      <c r="K43" s="42">
        <v>79515.460000000006</v>
      </c>
      <c r="L43" s="43">
        <v>86961.4</v>
      </c>
      <c r="M43" s="42">
        <v>89835.46</v>
      </c>
      <c r="N43" s="61">
        <f>SUM(B43:M43)</f>
        <v>976440.85</v>
      </c>
    </row>
    <row r="44" spans="1:14" ht="26.4" thickBot="1" x14ac:dyDescent="0.35">
      <c r="A44" s="88">
        <v>2026</v>
      </c>
      <c r="B44" s="42">
        <v>98085.65</v>
      </c>
      <c r="C44" s="42">
        <v>104434.14000000001</v>
      </c>
      <c r="D44" s="43">
        <v>86532.88</v>
      </c>
      <c r="E44" s="42">
        <v>74375.320000000007</v>
      </c>
      <c r="F44" s="43">
        <v>66678.87</v>
      </c>
      <c r="G44" s="42">
        <f>+G38</f>
        <v>42961.880000000005</v>
      </c>
      <c r="H44" s="43">
        <v>108010.52</v>
      </c>
      <c r="I44" s="42"/>
      <c r="J44" s="43"/>
      <c r="K44" s="42"/>
      <c r="L44" s="43"/>
      <c r="M44" s="42"/>
      <c r="N44" s="62">
        <f t="shared" ref="N44:N45" si="8">SUM(B44:M44)</f>
        <v>581079.26</v>
      </c>
    </row>
    <row r="45" spans="1:14" ht="31.2" customHeight="1" thickBot="1" x14ac:dyDescent="0.35">
      <c r="A45" s="89" t="s">
        <v>1054</v>
      </c>
      <c r="B45" s="29">
        <v>76766.16</v>
      </c>
      <c r="C45" s="29">
        <v>78871.490000000005</v>
      </c>
      <c r="D45" s="29">
        <v>72828.240000000005</v>
      </c>
      <c r="E45" s="29">
        <v>37490.92</v>
      </c>
      <c r="F45" s="29">
        <v>39887.94</v>
      </c>
      <c r="G45" s="29">
        <v>55365.91</v>
      </c>
      <c r="H45" s="29">
        <v>63056.33</v>
      </c>
      <c r="I45" s="29"/>
      <c r="J45" s="29"/>
      <c r="K45" s="29"/>
      <c r="L45" s="29"/>
      <c r="M45" s="29"/>
      <c r="N45" s="63">
        <f t="shared" si="8"/>
        <v>424266.99000000005</v>
      </c>
    </row>
    <row r="46" spans="1:14" ht="19.8" customHeight="1" x14ac:dyDescent="0.3">
      <c r="B46" s="44"/>
      <c r="C46" s="44"/>
    </row>
  </sheetData>
  <mergeCells count="3">
    <mergeCell ref="A1:N2"/>
    <mergeCell ref="A22:N23"/>
    <mergeCell ref="A41:N41"/>
  </mergeCells>
  <pageMargins left="0.7" right="0.7" top="0.75" bottom="0.75" header="0.3" footer="0.3"/>
  <pageSetup orientation="portrait" horizontalDpi="300" verticalDpi="30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A8F99-600B-44FD-8F6E-A02F038B9A5B}">
  <dimension ref="A1:H197"/>
  <sheetViews>
    <sheetView workbookViewId="0">
      <selection sqref="A1:H182"/>
    </sheetView>
  </sheetViews>
  <sheetFormatPr baseColWidth="10" defaultRowHeight="14.4" x14ac:dyDescent="0.3"/>
  <cols>
    <col min="2" max="2" width="28.6640625" customWidth="1"/>
    <col min="3" max="3" width="14.21875" customWidth="1"/>
    <col min="4" max="4" width="14.33203125" customWidth="1"/>
    <col min="5" max="5" width="16.6640625" customWidth="1"/>
    <col min="6" max="6" width="38.44140625" customWidth="1"/>
    <col min="7" max="7" width="14" bestFit="1" customWidth="1"/>
    <col min="8" max="8" width="13.21875" style="4" customWidth="1"/>
  </cols>
  <sheetData>
    <row r="1" spans="1:8" ht="24.6" customHeight="1" x14ac:dyDescent="0.3">
      <c r="A1" s="6" t="s">
        <v>0</v>
      </c>
      <c r="B1" s="6" t="s">
        <v>1</v>
      </c>
      <c r="C1" s="6" t="s">
        <v>2</v>
      </c>
      <c r="D1" s="6" t="s">
        <v>238</v>
      </c>
      <c r="E1" s="6" t="s">
        <v>3</v>
      </c>
      <c r="F1" s="6" t="s">
        <v>4</v>
      </c>
      <c r="G1" s="6" t="s">
        <v>5</v>
      </c>
      <c r="H1" s="6" t="s">
        <v>6</v>
      </c>
    </row>
    <row r="2" spans="1:8" x14ac:dyDescent="0.3">
      <c r="A2" s="2">
        <v>46052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5">
        <v>68</v>
      </c>
      <c r="H2" s="3" t="s">
        <v>12</v>
      </c>
    </row>
    <row r="3" spans="1:8" x14ac:dyDescent="0.3">
      <c r="A3" s="2">
        <v>46052</v>
      </c>
      <c r="B3" s="1" t="s">
        <v>13</v>
      </c>
      <c r="C3" s="1" t="s">
        <v>8</v>
      </c>
      <c r="D3" s="1" t="s">
        <v>9</v>
      </c>
      <c r="E3" s="1" t="s">
        <v>10</v>
      </c>
      <c r="F3" s="1" t="s">
        <v>14</v>
      </c>
      <c r="G3" s="5">
        <v>8802</v>
      </c>
      <c r="H3" s="3" t="s">
        <v>12</v>
      </c>
    </row>
    <row r="4" spans="1:8" x14ac:dyDescent="0.3">
      <c r="A4" s="2">
        <v>46052</v>
      </c>
      <c r="B4" s="1" t="s">
        <v>15</v>
      </c>
      <c r="C4" s="1" t="s">
        <v>8</v>
      </c>
      <c r="D4" s="1" t="s">
        <v>9</v>
      </c>
      <c r="E4" s="1" t="s">
        <v>10</v>
      </c>
      <c r="F4" s="1" t="s">
        <v>16</v>
      </c>
      <c r="G4" s="5">
        <v>209</v>
      </c>
      <c r="H4" s="3" t="s">
        <v>12</v>
      </c>
    </row>
    <row r="5" spans="1:8" x14ac:dyDescent="0.3">
      <c r="A5" s="2">
        <v>46052</v>
      </c>
      <c r="B5" s="1" t="s">
        <v>17</v>
      </c>
      <c r="C5" s="1" t="s">
        <v>8</v>
      </c>
      <c r="D5" s="1" t="s">
        <v>9</v>
      </c>
      <c r="E5" s="1" t="s">
        <v>10</v>
      </c>
      <c r="F5" s="1" t="s">
        <v>18</v>
      </c>
      <c r="G5" s="5">
        <v>342</v>
      </c>
      <c r="H5" s="3" t="s">
        <v>12</v>
      </c>
    </row>
    <row r="6" spans="1:8" x14ac:dyDescent="0.3">
      <c r="A6" s="2">
        <v>46052</v>
      </c>
      <c r="B6" s="1" t="s">
        <v>19</v>
      </c>
      <c r="C6" s="1" t="s">
        <v>20</v>
      </c>
      <c r="D6" s="1" t="s">
        <v>9</v>
      </c>
      <c r="E6" s="1" t="s">
        <v>10</v>
      </c>
      <c r="F6" s="1" t="s">
        <v>21</v>
      </c>
      <c r="G6" s="5">
        <v>810</v>
      </c>
      <c r="H6" s="3" t="s">
        <v>12</v>
      </c>
    </row>
    <row r="7" spans="1:8" x14ac:dyDescent="0.3">
      <c r="A7" s="2">
        <v>46052</v>
      </c>
      <c r="B7" s="1" t="s">
        <v>22</v>
      </c>
      <c r="C7" s="1" t="s">
        <v>20</v>
      </c>
      <c r="D7" s="1" t="s">
        <v>23</v>
      </c>
      <c r="E7" s="1" t="s">
        <v>10</v>
      </c>
      <c r="F7" s="1" t="s">
        <v>24</v>
      </c>
      <c r="G7" s="5">
        <v>8120</v>
      </c>
      <c r="H7" s="3" t="s">
        <v>12</v>
      </c>
    </row>
    <row r="8" spans="1:8" x14ac:dyDescent="0.3">
      <c r="A8" s="2">
        <v>46052</v>
      </c>
      <c r="B8" s="1" t="s">
        <v>25</v>
      </c>
      <c r="C8" s="1" t="s">
        <v>20</v>
      </c>
      <c r="D8" s="1" t="s">
        <v>9</v>
      </c>
      <c r="E8" s="1" t="s">
        <v>26</v>
      </c>
      <c r="F8" s="1" t="s">
        <v>27</v>
      </c>
      <c r="G8" s="5">
        <v>162343.82</v>
      </c>
      <c r="H8" s="3" t="s">
        <v>12</v>
      </c>
    </row>
    <row r="9" spans="1:8" x14ac:dyDescent="0.3">
      <c r="A9" s="2">
        <v>46052</v>
      </c>
      <c r="B9" s="1" t="s">
        <v>25</v>
      </c>
      <c r="C9" s="1" t="s">
        <v>20</v>
      </c>
      <c r="D9" s="1" t="s">
        <v>9</v>
      </c>
      <c r="E9" s="1" t="s">
        <v>28</v>
      </c>
      <c r="F9" s="1" t="s">
        <v>27</v>
      </c>
      <c r="G9" s="5">
        <v>10490.92</v>
      </c>
      <c r="H9" s="3" t="s">
        <v>12</v>
      </c>
    </row>
    <row r="10" spans="1:8" x14ac:dyDescent="0.3">
      <c r="A10" s="2">
        <v>46052</v>
      </c>
      <c r="B10" s="1" t="s">
        <v>29</v>
      </c>
      <c r="C10" s="1" t="s">
        <v>30</v>
      </c>
      <c r="D10" s="1" t="s">
        <v>9</v>
      </c>
      <c r="E10" s="1" t="s">
        <v>31</v>
      </c>
      <c r="F10" s="1" t="s">
        <v>32</v>
      </c>
      <c r="G10" s="5">
        <v>1200</v>
      </c>
      <c r="H10" s="3" t="s">
        <v>12</v>
      </c>
    </row>
    <row r="11" spans="1:8" x14ac:dyDescent="0.3">
      <c r="A11" s="2">
        <v>46052</v>
      </c>
      <c r="B11" s="1" t="s">
        <v>29</v>
      </c>
      <c r="C11" s="1" t="s">
        <v>30</v>
      </c>
      <c r="D11" s="1" t="s">
        <v>9</v>
      </c>
      <c r="E11" s="1" t="s">
        <v>28</v>
      </c>
      <c r="F11" s="1" t="s">
        <v>33</v>
      </c>
      <c r="G11" s="5">
        <v>600</v>
      </c>
      <c r="H11" s="3" t="s">
        <v>12</v>
      </c>
    </row>
    <row r="12" spans="1:8" x14ac:dyDescent="0.3">
      <c r="A12" s="2">
        <v>46052</v>
      </c>
      <c r="B12" s="1" t="s">
        <v>34</v>
      </c>
      <c r="C12" s="1" t="s">
        <v>8</v>
      </c>
      <c r="D12" s="1" t="s">
        <v>23</v>
      </c>
      <c r="E12" s="1" t="s">
        <v>10</v>
      </c>
      <c r="F12" s="1" t="s">
        <v>35</v>
      </c>
      <c r="G12" s="5">
        <v>970.06</v>
      </c>
      <c r="H12" s="3" t="s">
        <v>12</v>
      </c>
    </row>
    <row r="13" spans="1:8" x14ac:dyDescent="0.3">
      <c r="A13" s="2">
        <v>46052</v>
      </c>
      <c r="B13" s="1" t="s">
        <v>34</v>
      </c>
      <c r="C13" s="1" t="s">
        <v>8</v>
      </c>
      <c r="D13" s="1" t="s">
        <v>9</v>
      </c>
      <c r="E13" s="1" t="s">
        <v>10</v>
      </c>
      <c r="F13" s="1" t="s">
        <v>36</v>
      </c>
      <c r="G13" s="5">
        <v>1180.3</v>
      </c>
      <c r="H13" s="3" t="s">
        <v>12</v>
      </c>
    </row>
    <row r="14" spans="1:8" x14ac:dyDescent="0.3">
      <c r="A14" s="2">
        <v>46052</v>
      </c>
      <c r="B14" s="1" t="s">
        <v>34</v>
      </c>
      <c r="C14" s="1" t="s">
        <v>8</v>
      </c>
      <c r="D14" s="1" t="s">
        <v>9</v>
      </c>
      <c r="E14" s="1" t="s">
        <v>10</v>
      </c>
      <c r="F14" s="1" t="s">
        <v>37</v>
      </c>
      <c r="G14" s="5">
        <v>340.12</v>
      </c>
      <c r="H14" s="3" t="s">
        <v>12</v>
      </c>
    </row>
    <row r="15" spans="1:8" x14ac:dyDescent="0.3">
      <c r="A15" s="2">
        <v>46052</v>
      </c>
      <c r="B15" s="1" t="s">
        <v>34</v>
      </c>
      <c r="C15" s="1" t="s">
        <v>8</v>
      </c>
      <c r="D15" s="1" t="s">
        <v>9</v>
      </c>
      <c r="E15" s="1" t="s">
        <v>10</v>
      </c>
      <c r="F15" s="1" t="s">
        <v>38</v>
      </c>
      <c r="G15" s="5">
        <v>1018.68</v>
      </c>
      <c r="H15" s="3" t="s">
        <v>12</v>
      </c>
    </row>
    <row r="16" spans="1:8" x14ac:dyDescent="0.3">
      <c r="A16" s="2">
        <v>46052</v>
      </c>
      <c r="B16" s="1" t="s">
        <v>7</v>
      </c>
      <c r="C16" s="1" t="s">
        <v>30</v>
      </c>
      <c r="D16" s="1" t="s">
        <v>23</v>
      </c>
      <c r="E16" s="1" t="s">
        <v>10</v>
      </c>
      <c r="F16" s="1" t="s">
        <v>39</v>
      </c>
      <c r="G16" s="5">
        <v>10500</v>
      </c>
      <c r="H16" s="3" t="s">
        <v>12</v>
      </c>
    </row>
    <row r="17" spans="1:8" x14ac:dyDescent="0.3">
      <c r="A17" s="2">
        <v>46052</v>
      </c>
      <c r="B17" s="1" t="s">
        <v>7</v>
      </c>
      <c r="C17" s="1" t="s">
        <v>30</v>
      </c>
      <c r="D17" s="1" t="s">
        <v>23</v>
      </c>
      <c r="E17" s="1" t="s">
        <v>10</v>
      </c>
      <c r="F17" s="1" t="s">
        <v>40</v>
      </c>
      <c r="G17" s="5">
        <v>8000</v>
      </c>
      <c r="H17" s="3" t="s">
        <v>12</v>
      </c>
    </row>
    <row r="18" spans="1:8" x14ac:dyDescent="0.3">
      <c r="A18" s="2">
        <v>46052</v>
      </c>
      <c r="B18" s="1" t="s">
        <v>7</v>
      </c>
      <c r="C18" s="1" t="s">
        <v>20</v>
      </c>
      <c r="D18" s="1" t="s">
        <v>9</v>
      </c>
      <c r="E18" s="1" t="s">
        <v>10</v>
      </c>
      <c r="F18" s="1" t="s">
        <v>41</v>
      </c>
      <c r="G18" s="5">
        <v>811</v>
      </c>
      <c r="H18" s="3" t="s">
        <v>12</v>
      </c>
    </row>
    <row r="19" spans="1:8" x14ac:dyDescent="0.3">
      <c r="A19" s="2">
        <v>46052</v>
      </c>
      <c r="B19" s="1" t="s">
        <v>42</v>
      </c>
      <c r="C19" s="1" t="s">
        <v>43</v>
      </c>
      <c r="D19" s="1" t="s">
        <v>9</v>
      </c>
      <c r="E19" s="1" t="s">
        <v>10</v>
      </c>
      <c r="F19" s="1" t="s">
        <v>44</v>
      </c>
      <c r="G19" s="5">
        <v>23085</v>
      </c>
      <c r="H19" s="3" t="s">
        <v>12</v>
      </c>
    </row>
    <row r="20" spans="1:8" x14ac:dyDescent="0.3">
      <c r="A20" s="2">
        <v>46052</v>
      </c>
      <c r="B20" s="1" t="s">
        <v>45</v>
      </c>
      <c r="C20" s="1" t="s">
        <v>20</v>
      </c>
      <c r="D20" s="1" t="s">
        <v>9</v>
      </c>
      <c r="E20" s="1" t="s">
        <v>10</v>
      </c>
      <c r="F20" s="1" t="s">
        <v>46</v>
      </c>
      <c r="G20" s="5">
        <v>6727.19</v>
      </c>
      <c r="H20" s="3" t="s">
        <v>12</v>
      </c>
    </row>
    <row r="21" spans="1:8" x14ac:dyDescent="0.3">
      <c r="A21" s="2">
        <v>46052</v>
      </c>
      <c r="B21" s="1" t="s">
        <v>45</v>
      </c>
      <c r="C21" s="1" t="s">
        <v>30</v>
      </c>
      <c r="D21" s="1" t="s">
        <v>9</v>
      </c>
      <c r="E21" s="1" t="s">
        <v>10</v>
      </c>
      <c r="F21" s="1" t="s">
        <v>47</v>
      </c>
      <c r="G21" s="5">
        <v>2067.9699999999998</v>
      </c>
      <c r="H21" s="3" t="s">
        <v>12</v>
      </c>
    </row>
    <row r="22" spans="1:8" x14ac:dyDescent="0.3">
      <c r="A22" s="2">
        <v>46052</v>
      </c>
      <c r="B22" s="1" t="s">
        <v>45</v>
      </c>
      <c r="C22" s="1" t="s">
        <v>20</v>
      </c>
      <c r="D22" s="1" t="s">
        <v>9</v>
      </c>
      <c r="E22" s="1" t="s">
        <v>10</v>
      </c>
      <c r="F22" s="1" t="s">
        <v>48</v>
      </c>
      <c r="G22" s="5">
        <v>2497.29</v>
      </c>
      <c r="H22" s="3" t="s">
        <v>12</v>
      </c>
    </row>
    <row r="23" spans="1:8" x14ac:dyDescent="0.3">
      <c r="A23" s="2">
        <v>46052</v>
      </c>
      <c r="B23" s="1" t="s">
        <v>7</v>
      </c>
      <c r="C23" s="1" t="s">
        <v>8</v>
      </c>
      <c r="D23" s="1" t="s">
        <v>9</v>
      </c>
      <c r="E23" s="1" t="s">
        <v>10</v>
      </c>
      <c r="F23" s="1" t="s">
        <v>49</v>
      </c>
      <c r="G23" s="5">
        <v>449</v>
      </c>
      <c r="H23" s="3" t="s">
        <v>12</v>
      </c>
    </row>
    <row r="24" spans="1:8" x14ac:dyDescent="0.3">
      <c r="A24" s="2">
        <v>46052</v>
      </c>
      <c r="B24" s="1" t="s">
        <v>50</v>
      </c>
      <c r="C24" s="1" t="s">
        <v>8</v>
      </c>
      <c r="D24" s="1" t="s">
        <v>9</v>
      </c>
      <c r="E24" s="1" t="s">
        <v>10</v>
      </c>
      <c r="F24" s="1" t="s">
        <v>51</v>
      </c>
      <c r="G24" s="5">
        <v>1069</v>
      </c>
      <c r="H24" s="3" t="s">
        <v>12</v>
      </c>
    </row>
    <row r="25" spans="1:8" x14ac:dyDescent="0.3">
      <c r="A25" s="2">
        <v>46052</v>
      </c>
      <c r="B25" s="1" t="s">
        <v>50</v>
      </c>
      <c r="C25" s="1" t="s">
        <v>30</v>
      </c>
      <c r="D25" s="1" t="s">
        <v>9</v>
      </c>
      <c r="E25" s="1" t="s">
        <v>28</v>
      </c>
      <c r="F25" s="1" t="s">
        <v>52</v>
      </c>
      <c r="G25" s="5">
        <v>80</v>
      </c>
      <c r="H25" s="3" t="s">
        <v>12</v>
      </c>
    </row>
    <row r="26" spans="1:8" x14ac:dyDescent="0.3">
      <c r="A26" s="2">
        <v>46052</v>
      </c>
      <c r="B26" s="1" t="s">
        <v>53</v>
      </c>
      <c r="C26" s="1" t="s">
        <v>20</v>
      </c>
      <c r="D26" s="1" t="s">
        <v>9</v>
      </c>
      <c r="E26" s="1" t="s">
        <v>10</v>
      </c>
      <c r="F26" s="1" t="s">
        <v>54</v>
      </c>
      <c r="G26" s="5">
        <v>295.8</v>
      </c>
      <c r="H26" s="3" t="s">
        <v>12</v>
      </c>
    </row>
    <row r="27" spans="1:8" x14ac:dyDescent="0.3">
      <c r="A27" s="2">
        <v>46052</v>
      </c>
      <c r="B27" s="1" t="s">
        <v>55</v>
      </c>
      <c r="C27" s="1" t="s">
        <v>30</v>
      </c>
      <c r="D27" s="1" t="s">
        <v>23</v>
      </c>
      <c r="E27" s="1" t="s">
        <v>28</v>
      </c>
      <c r="F27" s="1" t="s">
        <v>56</v>
      </c>
      <c r="G27" s="5">
        <v>1156.01</v>
      </c>
      <c r="H27" s="3" t="s">
        <v>12</v>
      </c>
    </row>
    <row r="28" spans="1:8" x14ac:dyDescent="0.3">
      <c r="A28" s="2">
        <v>46051</v>
      </c>
      <c r="B28" s="1" t="s">
        <v>34</v>
      </c>
      <c r="C28" s="1" t="s">
        <v>57</v>
      </c>
      <c r="D28" s="1" t="s">
        <v>9</v>
      </c>
      <c r="E28" s="1" t="s">
        <v>10</v>
      </c>
      <c r="F28" s="1" t="s">
        <v>58</v>
      </c>
      <c r="G28" s="5">
        <v>999.07</v>
      </c>
      <c r="H28" s="3" t="s">
        <v>12</v>
      </c>
    </row>
    <row r="29" spans="1:8" x14ac:dyDescent="0.3">
      <c r="A29" s="2">
        <v>46051</v>
      </c>
      <c r="B29" s="1" t="s">
        <v>34</v>
      </c>
      <c r="C29" s="1" t="s">
        <v>8</v>
      </c>
      <c r="D29" s="1" t="s">
        <v>9</v>
      </c>
      <c r="E29" s="1" t="s">
        <v>10</v>
      </c>
      <c r="F29" s="1" t="s">
        <v>59</v>
      </c>
      <c r="G29" s="5">
        <v>1060.0999999999999</v>
      </c>
      <c r="H29" s="3" t="s">
        <v>12</v>
      </c>
    </row>
    <row r="30" spans="1:8" x14ac:dyDescent="0.3">
      <c r="A30" s="2">
        <v>46051</v>
      </c>
      <c r="B30" s="1" t="s">
        <v>60</v>
      </c>
      <c r="C30" s="1" t="s">
        <v>30</v>
      </c>
      <c r="D30" s="1" t="s">
        <v>9</v>
      </c>
      <c r="E30" s="1" t="s">
        <v>10</v>
      </c>
      <c r="F30" s="1" t="s">
        <v>61</v>
      </c>
      <c r="G30" s="5">
        <v>144.99</v>
      </c>
      <c r="H30" s="3" t="s">
        <v>12</v>
      </c>
    </row>
    <row r="31" spans="1:8" x14ac:dyDescent="0.3">
      <c r="A31" s="2">
        <v>46051</v>
      </c>
      <c r="B31" s="1" t="s">
        <v>62</v>
      </c>
      <c r="C31" s="1" t="s">
        <v>30</v>
      </c>
      <c r="D31" s="1" t="s">
        <v>23</v>
      </c>
      <c r="E31" s="1" t="s">
        <v>10</v>
      </c>
      <c r="F31" s="1" t="s">
        <v>63</v>
      </c>
      <c r="G31" s="5">
        <v>979</v>
      </c>
      <c r="H31" s="3" t="s">
        <v>12</v>
      </c>
    </row>
    <row r="32" spans="1:8" x14ac:dyDescent="0.3">
      <c r="A32" s="2">
        <v>46051</v>
      </c>
      <c r="B32" s="1" t="s">
        <v>34</v>
      </c>
      <c r="C32" s="1" t="s">
        <v>8</v>
      </c>
      <c r="D32" s="1" t="s">
        <v>9</v>
      </c>
      <c r="E32" s="1" t="s">
        <v>10</v>
      </c>
      <c r="F32" s="1" t="s">
        <v>64</v>
      </c>
      <c r="G32" s="5">
        <v>650.82000000000005</v>
      </c>
      <c r="H32" s="3" t="s">
        <v>12</v>
      </c>
    </row>
    <row r="33" spans="1:8" x14ac:dyDescent="0.3">
      <c r="A33" s="2">
        <v>46051</v>
      </c>
      <c r="B33" s="1" t="s">
        <v>13</v>
      </c>
      <c r="C33" s="1" t="s">
        <v>8</v>
      </c>
      <c r="D33" s="1" t="s">
        <v>9</v>
      </c>
      <c r="E33" s="1" t="s">
        <v>10</v>
      </c>
      <c r="F33" s="1" t="s">
        <v>65</v>
      </c>
      <c r="G33" s="5">
        <v>1307</v>
      </c>
      <c r="H33" s="3" t="s">
        <v>12</v>
      </c>
    </row>
    <row r="34" spans="1:8" x14ac:dyDescent="0.3">
      <c r="A34" s="2">
        <v>46051</v>
      </c>
      <c r="B34" s="1" t="s">
        <v>7</v>
      </c>
      <c r="C34" s="1" t="s">
        <v>8</v>
      </c>
      <c r="D34" s="1" t="s">
        <v>9</v>
      </c>
      <c r="E34" s="1" t="s">
        <v>10</v>
      </c>
      <c r="F34" s="1" t="s">
        <v>66</v>
      </c>
      <c r="G34" s="5">
        <v>693</v>
      </c>
      <c r="H34" s="3" t="s">
        <v>12</v>
      </c>
    </row>
    <row r="35" spans="1:8" x14ac:dyDescent="0.3">
      <c r="A35" s="2">
        <v>46051</v>
      </c>
      <c r="B35" s="1" t="s">
        <v>15</v>
      </c>
      <c r="C35" s="1" t="s">
        <v>8</v>
      </c>
      <c r="D35" s="1" t="s">
        <v>9</v>
      </c>
      <c r="E35" s="1" t="s">
        <v>10</v>
      </c>
      <c r="F35" s="1" t="s">
        <v>67</v>
      </c>
      <c r="G35" s="5">
        <v>30</v>
      </c>
      <c r="H35" s="3" t="s">
        <v>12</v>
      </c>
    </row>
    <row r="36" spans="1:8" x14ac:dyDescent="0.3">
      <c r="A36" s="2">
        <v>46051</v>
      </c>
      <c r="B36" s="1" t="s">
        <v>15</v>
      </c>
      <c r="C36" s="1" t="s">
        <v>8</v>
      </c>
      <c r="D36" s="1" t="s">
        <v>9</v>
      </c>
      <c r="E36" s="1" t="s">
        <v>10</v>
      </c>
      <c r="F36" s="1" t="s">
        <v>68</v>
      </c>
      <c r="G36" s="5">
        <v>311.04000000000002</v>
      </c>
      <c r="H36" s="3" t="s">
        <v>12</v>
      </c>
    </row>
    <row r="37" spans="1:8" x14ac:dyDescent="0.3">
      <c r="A37" s="2">
        <v>46051</v>
      </c>
      <c r="B37" s="1" t="s">
        <v>15</v>
      </c>
      <c r="C37" s="1" t="s">
        <v>8</v>
      </c>
      <c r="D37" s="1" t="s">
        <v>9</v>
      </c>
      <c r="E37" s="1" t="s">
        <v>10</v>
      </c>
      <c r="F37" s="1" t="s">
        <v>69</v>
      </c>
      <c r="G37" s="5">
        <v>310</v>
      </c>
      <c r="H37" s="3" t="s">
        <v>12</v>
      </c>
    </row>
    <row r="38" spans="1:8" x14ac:dyDescent="0.3">
      <c r="A38" s="2">
        <v>46050</v>
      </c>
      <c r="B38" s="1" t="s">
        <v>70</v>
      </c>
      <c r="C38" s="1" t="s">
        <v>20</v>
      </c>
      <c r="D38" s="1" t="s">
        <v>9</v>
      </c>
      <c r="E38" s="1" t="s">
        <v>71</v>
      </c>
      <c r="F38" s="1" t="s">
        <v>72</v>
      </c>
      <c r="G38" s="5">
        <v>55020.18</v>
      </c>
      <c r="H38" s="3" t="s">
        <v>12</v>
      </c>
    </row>
    <row r="39" spans="1:8" x14ac:dyDescent="0.3">
      <c r="A39" s="2">
        <v>46050</v>
      </c>
      <c r="B39" s="1" t="s">
        <v>50</v>
      </c>
      <c r="C39" s="1" t="s">
        <v>30</v>
      </c>
      <c r="D39" s="1" t="s">
        <v>9</v>
      </c>
      <c r="E39" s="1" t="s">
        <v>10</v>
      </c>
      <c r="F39" s="1" t="s">
        <v>73</v>
      </c>
      <c r="G39" s="5">
        <v>425</v>
      </c>
      <c r="H39" s="3" t="s">
        <v>12</v>
      </c>
    </row>
    <row r="40" spans="1:8" x14ac:dyDescent="0.3">
      <c r="A40" s="2">
        <v>46050</v>
      </c>
      <c r="B40" s="1" t="s">
        <v>62</v>
      </c>
      <c r="C40" s="1" t="s">
        <v>30</v>
      </c>
      <c r="D40" s="1" t="s">
        <v>23</v>
      </c>
      <c r="E40" s="1" t="s">
        <v>10</v>
      </c>
      <c r="F40" s="1" t="s">
        <v>74</v>
      </c>
      <c r="G40" s="5">
        <v>427</v>
      </c>
      <c r="H40" s="3" t="s">
        <v>12</v>
      </c>
    </row>
    <row r="41" spans="1:8" x14ac:dyDescent="0.3">
      <c r="A41" s="2">
        <v>46050</v>
      </c>
      <c r="B41" s="1" t="s">
        <v>62</v>
      </c>
      <c r="C41" s="1" t="s">
        <v>30</v>
      </c>
      <c r="D41" s="1" t="s">
        <v>9</v>
      </c>
      <c r="E41" s="1" t="s">
        <v>10</v>
      </c>
      <c r="F41" s="1" t="s">
        <v>75</v>
      </c>
      <c r="G41" s="5">
        <v>394.99</v>
      </c>
      <c r="H41" s="3" t="s">
        <v>12</v>
      </c>
    </row>
    <row r="42" spans="1:8" x14ac:dyDescent="0.3">
      <c r="A42" s="2">
        <v>46050</v>
      </c>
      <c r="B42" s="1" t="s">
        <v>15</v>
      </c>
      <c r="C42" s="1" t="s">
        <v>8</v>
      </c>
      <c r="D42" s="1" t="s">
        <v>9</v>
      </c>
      <c r="E42" s="1" t="s">
        <v>10</v>
      </c>
      <c r="F42" s="1" t="s">
        <v>76</v>
      </c>
      <c r="G42" s="5">
        <v>357.68</v>
      </c>
      <c r="H42" s="3" t="s">
        <v>12</v>
      </c>
    </row>
    <row r="43" spans="1:8" x14ac:dyDescent="0.3">
      <c r="A43" s="2">
        <v>46050</v>
      </c>
      <c r="B43" s="1" t="s">
        <v>15</v>
      </c>
      <c r="C43" s="1" t="s">
        <v>8</v>
      </c>
      <c r="D43" s="1" t="s">
        <v>9</v>
      </c>
      <c r="E43" s="1" t="s">
        <v>10</v>
      </c>
      <c r="F43" s="1" t="s">
        <v>77</v>
      </c>
      <c r="G43" s="5">
        <v>301.02</v>
      </c>
      <c r="H43" s="3" t="s">
        <v>12</v>
      </c>
    </row>
    <row r="44" spans="1:8" x14ac:dyDescent="0.3">
      <c r="A44" s="2">
        <v>46050</v>
      </c>
      <c r="B44" s="1" t="s">
        <v>15</v>
      </c>
      <c r="C44" s="1" t="s">
        <v>8</v>
      </c>
      <c r="D44" s="1" t="s">
        <v>9</v>
      </c>
      <c r="E44" s="1" t="s">
        <v>10</v>
      </c>
      <c r="F44" s="1" t="s">
        <v>78</v>
      </c>
      <c r="G44" s="5">
        <v>82.66</v>
      </c>
      <c r="H44" s="3" t="s">
        <v>12</v>
      </c>
    </row>
    <row r="45" spans="1:8" x14ac:dyDescent="0.3">
      <c r="A45" s="2">
        <v>46050</v>
      </c>
      <c r="B45" s="1" t="s">
        <v>13</v>
      </c>
      <c r="C45" s="1" t="s">
        <v>30</v>
      </c>
      <c r="D45" s="1" t="s">
        <v>9</v>
      </c>
      <c r="E45" s="1" t="s">
        <v>79</v>
      </c>
      <c r="F45" s="1" t="s">
        <v>80</v>
      </c>
      <c r="G45" s="5">
        <v>70</v>
      </c>
      <c r="H45" s="3" t="s">
        <v>12</v>
      </c>
    </row>
    <row r="46" spans="1:8" x14ac:dyDescent="0.3">
      <c r="A46" s="2">
        <v>46050</v>
      </c>
      <c r="B46" s="1" t="s">
        <v>13</v>
      </c>
      <c r="C46" s="1" t="s">
        <v>8</v>
      </c>
      <c r="D46" s="1" t="s">
        <v>9</v>
      </c>
      <c r="E46" s="1" t="s">
        <v>10</v>
      </c>
      <c r="F46" s="1" t="s">
        <v>82</v>
      </c>
      <c r="G46" s="5">
        <v>320</v>
      </c>
      <c r="H46" s="3" t="s">
        <v>12</v>
      </c>
    </row>
    <row r="47" spans="1:8" x14ac:dyDescent="0.3">
      <c r="A47" s="2">
        <v>46049</v>
      </c>
      <c r="B47" s="1" t="s">
        <v>50</v>
      </c>
      <c r="C47" s="1" t="s">
        <v>30</v>
      </c>
      <c r="D47" s="1" t="s">
        <v>9</v>
      </c>
      <c r="E47" s="1" t="s">
        <v>10</v>
      </c>
      <c r="F47" s="1" t="s">
        <v>83</v>
      </c>
      <c r="G47" s="5">
        <v>125</v>
      </c>
      <c r="H47" s="3" t="s">
        <v>12</v>
      </c>
    </row>
    <row r="48" spans="1:8" x14ac:dyDescent="0.3">
      <c r="A48" s="2">
        <v>46049</v>
      </c>
      <c r="B48" s="1" t="s">
        <v>15</v>
      </c>
      <c r="C48" s="1" t="s">
        <v>8</v>
      </c>
      <c r="D48" s="1" t="s">
        <v>9</v>
      </c>
      <c r="E48" s="1" t="s">
        <v>10</v>
      </c>
      <c r="F48" s="1" t="s">
        <v>84</v>
      </c>
      <c r="G48" s="5">
        <v>50</v>
      </c>
      <c r="H48" s="3" t="s">
        <v>12</v>
      </c>
    </row>
    <row r="49" spans="1:8" x14ac:dyDescent="0.3">
      <c r="A49" s="2">
        <v>46049</v>
      </c>
      <c r="B49" s="1" t="s">
        <v>34</v>
      </c>
      <c r="C49" s="1" t="s">
        <v>8</v>
      </c>
      <c r="D49" s="1" t="s">
        <v>9</v>
      </c>
      <c r="E49" s="1" t="s">
        <v>10</v>
      </c>
      <c r="F49" s="1" t="s">
        <v>85</v>
      </c>
      <c r="G49" s="5">
        <v>750.11</v>
      </c>
      <c r="H49" s="3" t="s">
        <v>12</v>
      </c>
    </row>
    <row r="50" spans="1:8" x14ac:dyDescent="0.3">
      <c r="A50" s="2">
        <v>46049</v>
      </c>
      <c r="B50" s="1" t="s">
        <v>34</v>
      </c>
      <c r="C50" s="1" t="s">
        <v>8</v>
      </c>
      <c r="D50" s="1" t="s">
        <v>9</v>
      </c>
      <c r="E50" s="1" t="s">
        <v>10</v>
      </c>
      <c r="F50" s="1" t="s">
        <v>86</v>
      </c>
      <c r="G50" s="5">
        <v>920.13</v>
      </c>
      <c r="H50" s="3" t="s">
        <v>12</v>
      </c>
    </row>
    <row r="51" spans="1:8" x14ac:dyDescent="0.3">
      <c r="A51" s="2">
        <v>46049</v>
      </c>
      <c r="B51" s="1" t="s">
        <v>34</v>
      </c>
      <c r="C51" s="1" t="s">
        <v>8</v>
      </c>
      <c r="D51" s="1" t="s">
        <v>9</v>
      </c>
      <c r="E51" s="1" t="s">
        <v>10</v>
      </c>
      <c r="F51" s="1" t="s">
        <v>87</v>
      </c>
      <c r="G51" s="5">
        <v>985.27</v>
      </c>
      <c r="H51" s="3" t="s">
        <v>12</v>
      </c>
    </row>
    <row r="52" spans="1:8" x14ac:dyDescent="0.3">
      <c r="A52" s="2">
        <v>46049</v>
      </c>
      <c r="B52" s="1" t="s">
        <v>34</v>
      </c>
      <c r="C52" s="1" t="s">
        <v>8</v>
      </c>
      <c r="D52" s="1" t="s">
        <v>9</v>
      </c>
      <c r="E52" s="1" t="s">
        <v>10</v>
      </c>
      <c r="F52" s="1" t="s">
        <v>88</v>
      </c>
      <c r="G52" s="5">
        <v>414.59</v>
      </c>
      <c r="H52" s="3" t="s">
        <v>12</v>
      </c>
    </row>
    <row r="53" spans="1:8" x14ac:dyDescent="0.3">
      <c r="A53" s="2">
        <v>46049</v>
      </c>
      <c r="B53" s="1" t="s">
        <v>89</v>
      </c>
      <c r="C53" s="1" t="s">
        <v>8</v>
      </c>
      <c r="D53" s="1" t="s">
        <v>9</v>
      </c>
      <c r="E53" s="1" t="s">
        <v>10</v>
      </c>
      <c r="F53" s="1" t="s">
        <v>90</v>
      </c>
      <c r="G53" s="5">
        <v>1675</v>
      </c>
      <c r="H53" s="3" t="s">
        <v>12</v>
      </c>
    </row>
    <row r="54" spans="1:8" x14ac:dyDescent="0.3">
      <c r="A54" s="2">
        <v>46049</v>
      </c>
      <c r="B54" s="1" t="s">
        <v>15</v>
      </c>
      <c r="C54" s="1" t="s">
        <v>8</v>
      </c>
      <c r="D54" s="1" t="s">
        <v>9</v>
      </c>
      <c r="E54" s="1" t="s">
        <v>10</v>
      </c>
      <c r="F54" s="1" t="s">
        <v>91</v>
      </c>
      <c r="G54" s="5">
        <v>83.3</v>
      </c>
      <c r="H54" s="3" t="s">
        <v>12</v>
      </c>
    </row>
    <row r="55" spans="1:8" x14ac:dyDescent="0.3">
      <c r="A55" s="2">
        <v>46049</v>
      </c>
      <c r="B55" s="1" t="s">
        <v>13</v>
      </c>
      <c r="C55" s="1" t="s">
        <v>8</v>
      </c>
      <c r="D55" s="1" t="s">
        <v>9</v>
      </c>
      <c r="E55" s="1" t="s">
        <v>10</v>
      </c>
      <c r="F55" s="1" t="s">
        <v>92</v>
      </c>
      <c r="G55" s="5">
        <v>300</v>
      </c>
      <c r="H55" s="3" t="s">
        <v>12</v>
      </c>
    </row>
    <row r="56" spans="1:8" x14ac:dyDescent="0.3">
      <c r="A56" s="2">
        <v>46049</v>
      </c>
      <c r="B56" s="1" t="s">
        <v>15</v>
      </c>
      <c r="C56" s="1" t="s">
        <v>8</v>
      </c>
      <c r="D56" s="1" t="s">
        <v>9</v>
      </c>
      <c r="E56" s="1" t="s">
        <v>10</v>
      </c>
      <c r="F56" s="1" t="s">
        <v>93</v>
      </c>
      <c r="G56" s="5">
        <v>509.76</v>
      </c>
      <c r="H56" s="3" t="s">
        <v>12</v>
      </c>
    </row>
    <row r="57" spans="1:8" x14ac:dyDescent="0.3">
      <c r="A57" s="2">
        <v>46049</v>
      </c>
      <c r="B57" s="1" t="s">
        <v>34</v>
      </c>
      <c r="C57" s="1" t="s">
        <v>8</v>
      </c>
      <c r="D57" s="1" t="s">
        <v>23</v>
      </c>
      <c r="E57" s="1" t="s">
        <v>10</v>
      </c>
      <c r="F57" s="1" t="s">
        <v>94</v>
      </c>
      <c r="G57" s="5">
        <v>605.09</v>
      </c>
      <c r="H57" s="3" t="s">
        <v>12</v>
      </c>
    </row>
    <row r="58" spans="1:8" x14ac:dyDescent="0.3">
      <c r="A58" s="2">
        <v>46049</v>
      </c>
      <c r="B58" s="1" t="s">
        <v>79</v>
      </c>
      <c r="C58" s="1" t="s">
        <v>20</v>
      </c>
      <c r="D58" s="1" t="s">
        <v>9</v>
      </c>
      <c r="E58" s="1" t="s">
        <v>10</v>
      </c>
      <c r="F58" s="1" t="s">
        <v>95</v>
      </c>
      <c r="G58" s="5">
        <v>5470</v>
      </c>
      <c r="H58" s="3" t="s">
        <v>12</v>
      </c>
    </row>
    <row r="59" spans="1:8" x14ac:dyDescent="0.3">
      <c r="A59" s="2">
        <v>46049</v>
      </c>
      <c r="B59" s="1" t="s">
        <v>55</v>
      </c>
      <c r="C59" s="1" t="s">
        <v>8</v>
      </c>
      <c r="D59" s="1" t="s">
        <v>9</v>
      </c>
      <c r="E59" s="1" t="s">
        <v>10</v>
      </c>
      <c r="F59" s="1" t="s">
        <v>96</v>
      </c>
      <c r="G59" s="5">
        <v>3061.8</v>
      </c>
      <c r="H59" s="3" t="s">
        <v>12</v>
      </c>
    </row>
    <row r="60" spans="1:8" x14ac:dyDescent="0.3">
      <c r="A60" s="2">
        <v>46048</v>
      </c>
      <c r="B60" s="1" t="s">
        <v>34</v>
      </c>
      <c r="C60" s="1" t="s">
        <v>8</v>
      </c>
      <c r="D60" s="1" t="s">
        <v>9</v>
      </c>
      <c r="E60" s="1" t="s">
        <v>10</v>
      </c>
      <c r="F60" s="1" t="s">
        <v>97</v>
      </c>
      <c r="G60" s="5">
        <v>1742.27</v>
      </c>
      <c r="H60" s="3" t="s">
        <v>12</v>
      </c>
    </row>
    <row r="61" spans="1:8" x14ac:dyDescent="0.3">
      <c r="A61" s="2">
        <v>46048</v>
      </c>
      <c r="B61" s="1" t="s">
        <v>50</v>
      </c>
      <c r="C61" s="1" t="s">
        <v>8</v>
      </c>
      <c r="D61" s="1" t="s">
        <v>9</v>
      </c>
      <c r="E61" s="1" t="s">
        <v>28</v>
      </c>
      <c r="F61" s="1" t="s">
        <v>98</v>
      </c>
      <c r="G61" s="5">
        <v>469</v>
      </c>
      <c r="H61" s="3" t="s">
        <v>12</v>
      </c>
    </row>
    <row r="62" spans="1:8" x14ac:dyDescent="0.3">
      <c r="A62" s="2">
        <v>46048</v>
      </c>
      <c r="B62" s="1" t="s">
        <v>15</v>
      </c>
      <c r="C62" s="1" t="s">
        <v>8</v>
      </c>
      <c r="D62" s="1" t="s">
        <v>9</v>
      </c>
      <c r="E62" s="1" t="s">
        <v>10</v>
      </c>
      <c r="F62" s="1" t="s">
        <v>99</v>
      </c>
      <c r="G62" s="5">
        <v>780</v>
      </c>
      <c r="H62" s="3" t="s">
        <v>12</v>
      </c>
    </row>
    <row r="63" spans="1:8" x14ac:dyDescent="0.3">
      <c r="A63" s="2">
        <v>46048</v>
      </c>
      <c r="B63" s="1" t="s">
        <v>15</v>
      </c>
      <c r="C63" s="1" t="s">
        <v>8</v>
      </c>
      <c r="D63" s="1" t="s">
        <v>9</v>
      </c>
      <c r="E63" s="1" t="s">
        <v>10</v>
      </c>
      <c r="F63" s="1" t="s">
        <v>100</v>
      </c>
      <c r="G63" s="5">
        <v>105</v>
      </c>
      <c r="H63" s="3" t="s">
        <v>12</v>
      </c>
    </row>
    <row r="64" spans="1:8" x14ac:dyDescent="0.3">
      <c r="A64" s="2">
        <v>46048</v>
      </c>
      <c r="B64" s="1" t="s">
        <v>15</v>
      </c>
      <c r="C64" s="1" t="s">
        <v>8</v>
      </c>
      <c r="D64" s="1" t="s">
        <v>9</v>
      </c>
      <c r="E64" s="1" t="s">
        <v>10</v>
      </c>
      <c r="F64" s="1" t="s">
        <v>101</v>
      </c>
      <c r="G64" s="5">
        <v>522</v>
      </c>
      <c r="H64" s="3" t="s">
        <v>12</v>
      </c>
    </row>
    <row r="65" spans="1:8" x14ac:dyDescent="0.3">
      <c r="A65" s="2">
        <v>46047</v>
      </c>
      <c r="B65" s="1" t="s">
        <v>34</v>
      </c>
      <c r="C65" s="1" t="s">
        <v>102</v>
      </c>
      <c r="D65" s="1" t="s">
        <v>9</v>
      </c>
      <c r="E65" s="1" t="s">
        <v>10</v>
      </c>
      <c r="F65" s="1" t="s">
        <v>103</v>
      </c>
      <c r="G65" s="5">
        <v>1483.85</v>
      </c>
      <c r="H65" s="3" t="s">
        <v>12</v>
      </c>
    </row>
    <row r="66" spans="1:8" x14ac:dyDescent="0.3">
      <c r="A66" s="2">
        <v>46046</v>
      </c>
      <c r="B66" s="1" t="s">
        <v>45</v>
      </c>
      <c r="C66" s="1" t="s">
        <v>8</v>
      </c>
      <c r="D66" s="1" t="s">
        <v>23</v>
      </c>
      <c r="E66" s="1" t="s">
        <v>10</v>
      </c>
      <c r="F66" s="1" t="s">
        <v>104</v>
      </c>
      <c r="G66" s="5">
        <v>5342.69</v>
      </c>
      <c r="H66" s="3" t="s">
        <v>12</v>
      </c>
    </row>
    <row r="67" spans="1:8" x14ac:dyDescent="0.3">
      <c r="A67" s="2">
        <v>46046</v>
      </c>
      <c r="B67" s="1" t="s">
        <v>45</v>
      </c>
      <c r="C67" s="1" t="s">
        <v>20</v>
      </c>
      <c r="D67" s="1" t="s">
        <v>9</v>
      </c>
      <c r="E67" s="1" t="s">
        <v>10</v>
      </c>
      <c r="F67" s="1" t="s">
        <v>105</v>
      </c>
      <c r="G67" s="5">
        <v>2981.5</v>
      </c>
      <c r="H67" s="3" t="s">
        <v>12</v>
      </c>
    </row>
    <row r="68" spans="1:8" x14ac:dyDescent="0.3">
      <c r="A68" s="2">
        <v>46045</v>
      </c>
      <c r="B68" s="1" t="s">
        <v>70</v>
      </c>
      <c r="C68" s="1" t="s">
        <v>20</v>
      </c>
      <c r="D68" s="1" t="s">
        <v>9</v>
      </c>
      <c r="E68" s="1" t="s">
        <v>71</v>
      </c>
      <c r="F68" s="1" t="s">
        <v>106</v>
      </c>
      <c r="G68" s="5">
        <v>25000</v>
      </c>
      <c r="H68" s="3" t="s">
        <v>12</v>
      </c>
    </row>
    <row r="69" spans="1:8" x14ac:dyDescent="0.3">
      <c r="A69" s="2">
        <v>46045</v>
      </c>
      <c r="B69" s="1" t="s">
        <v>70</v>
      </c>
      <c r="C69" s="1" t="s">
        <v>20</v>
      </c>
      <c r="D69" s="1" t="s">
        <v>9</v>
      </c>
      <c r="E69" s="1" t="s">
        <v>26</v>
      </c>
      <c r="F69" s="1" t="s">
        <v>107</v>
      </c>
      <c r="G69" s="5">
        <v>24162.05</v>
      </c>
      <c r="H69" s="3" t="s">
        <v>12</v>
      </c>
    </row>
    <row r="70" spans="1:8" x14ac:dyDescent="0.3">
      <c r="A70" s="2">
        <v>46045</v>
      </c>
      <c r="B70" s="1" t="s">
        <v>25</v>
      </c>
      <c r="C70" s="1" t="s">
        <v>20</v>
      </c>
      <c r="D70" s="1" t="s">
        <v>9</v>
      </c>
      <c r="E70" s="1" t="s">
        <v>26</v>
      </c>
      <c r="F70" s="1" t="s">
        <v>108</v>
      </c>
      <c r="G70" s="5">
        <v>157748.51999999999</v>
      </c>
      <c r="H70" s="3" t="s">
        <v>12</v>
      </c>
    </row>
    <row r="71" spans="1:8" x14ac:dyDescent="0.3">
      <c r="A71" s="2">
        <v>46045</v>
      </c>
      <c r="B71" s="1" t="s">
        <v>25</v>
      </c>
      <c r="C71" s="1" t="s">
        <v>20</v>
      </c>
      <c r="D71" s="1" t="s">
        <v>9</v>
      </c>
      <c r="E71" s="1" t="s">
        <v>28</v>
      </c>
      <c r="F71" s="1" t="s">
        <v>108</v>
      </c>
      <c r="G71" s="5">
        <v>10920.11</v>
      </c>
      <c r="H71" s="3" t="s">
        <v>12</v>
      </c>
    </row>
    <row r="72" spans="1:8" x14ac:dyDescent="0.3">
      <c r="A72" s="2">
        <v>46045</v>
      </c>
      <c r="B72" s="1" t="s">
        <v>60</v>
      </c>
      <c r="C72" s="1" t="s">
        <v>8</v>
      </c>
      <c r="D72" s="1" t="s">
        <v>23</v>
      </c>
      <c r="E72" s="1" t="s">
        <v>10</v>
      </c>
      <c r="F72" s="1" t="s">
        <v>109</v>
      </c>
      <c r="G72" s="5">
        <v>2438.58</v>
      </c>
      <c r="H72" s="3" t="s">
        <v>12</v>
      </c>
    </row>
    <row r="73" spans="1:8" x14ac:dyDescent="0.3">
      <c r="A73" s="2">
        <v>46045</v>
      </c>
      <c r="B73" s="1" t="s">
        <v>60</v>
      </c>
      <c r="C73" s="1" t="s">
        <v>8</v>
      </c>
      <c r="D73" s="1" t="s">
        <v>9</v>
      </c>
      <c r="E73" s="1" t="s">
        <v>10</v>
      </c>
      <c r="F73" s="1" t="s">
        <v>110</v>
      </c>
      <c r="G73" s="5">
        <v>1226.42</v>
      </c>
      <c r="H73" s="3" t="s">
        <v>12</v>
      </c>
    </row>
    <row r="74" spans="1:8" x14ac:dyDescent="0.3">
      <c r="A74" s="2">
        <v>46045</v>
      </c>
      <c r="B74" s="1" t="s">
        <v>60</v>
      </c>
      <c r="C74" s="1" t="s">
        <v>8</v>
      </c>
      <c r="D74" s="1" t="s">
        <v>9</v>
      </c>
      <c r="E74" s="1" t="s">
        <v>10</v>
      </c>
      <c r="F74" s="1" t="s">
        <v>111</v>
      </c>
      <c r="G74" s="5">
        <v>1226.42</v>
      </c>
      <c r="H74" s="3" t="s">
        <v>12</v>
      </c>
    </row>
    <row r="75" spans="1:8" x14ac:dyDescent="0.3">
      <c r="A75" s="2">
        <v>46045</v>
      </c>
      <c r="B75" s="1" t="s">
        <v>17</v>
      </c>
      <c r="C75" s="1" t="s">
        <v>8</v>
      </c>
      <c r="D75" s="1" t="s">
        <v>9</v>
      </c>
      <c r="E75" s="1" t="s">
        <v>10</v>
      </c>
      <c r="F75" s="1" t="s">
        <v>112</v>
      </c>
      <c r="G75" s="5">
        <v>316.10000000000002</v>
      </c>
      <c r="H75" s="3" t="s">
        <v>12</v>
      </c>
    </row>
    <row r="76" spans="1:8" x14ac:dyDescent="0.3">
      <c r="A76" s="2">
        <v>46045</v>
      </c>
      <c r="B76" s="1" t="s">
        <v>113</v>
      </c>
      <c r="C76" s="1" t="s">
        <v>20</v>
      </c>
      <c r="D76" s="1" t="s">
        <v>9</v>
      </c>
      <c r="E76" s="1" t="s">
        <v>10</v>
      </c>
      <c r="F76" s="1" t="s">
        <v>114</v>
      </c>
      <c r="G76" s="5">
        <v>60262</v>
      </c>
      <c r="H76" s="3" t="s">
        <v>12</v>
      </c>
    </row>
    <row r="77" spans="1:8" x14ac:dyDescent="0.3">
      <c r="A77" s="2">
        <v>46045</v>
      </c>
      <c r="B77" s="1" t="s">
        <v>15</v>
      </c>
      <c r="C77" s="1" t="s">
        <v>8</v>
      </c>
      <c r="D77" s="1" t="s">
        <v>9</v>
      </c>
      <c r="E77" s="1" t="s">
        <v>10</v>
      </c>
      <c r="F77" s="1" t="s">
        <v>115</v>
      </c>
      <c r="G77" s="5">
        <v>11437.35</v>
      </c>
      <c r="H77" s="3" t="s">
        <v>12</v>
      </c>
    </row>
    <row r="78" spans="1:8" x14ac:dyDescent="0.3">
      <c r="A78" s="2">
        <v>46044</v>
      </c>
      <c r="B78" s="1" t="s">
        <v>34</v>
      </c>
      <c r="C78" s="1" t="s">
        <v>8</v>
      </c>
      <c r="D78" s="1" t="s">
        <v>9</v>
      </c>
      <c r="E78" s="1" t="s">
        <v>10</v>
      </c>
      <c r="F78" s="1" t="s">
        <v>116</v>
      </c>
      <c r="G78" s="5">
        <v>1922.9</v>
      </c>
      <c r="H78" s="3" t="s">
        <v>12</v>
      </c>
    </row>
    <row r="79" spans="1:8" x14ac:dyDescent="0.3">
      <c r="A79" s="2">
        <v>46044</v>
      </c>
      <c r="B79" s="1" t="s">
        <v>34</v>
      </c>
      <c r="C79" s="1" t="s">
        <v>8</v>
      </c>
      <c r="D79" s="1" t="s">
        <v>9</v>
      </c>
      <c r="E79" s="1" t="s">
        <v>10</v>
      </c>
      <c r="F79" s="1" t="s">
        <v>117</v>
      </c>
      <c r="G79" s="5">
        <v>1121.68</v>
      </c>
      <c r="H79" s="3" t="s">
        <v>12</v>
      </c>
    </row>
    <row r="80" spans="1:8" x14ac:dyDescent="0.3">
      <c r="A80" s="2">
        <v>46044</v>
      </c>
      <c r="B80" s="1" t="s">
        <v>60</v>
      </c>
      <c r="C80" s="1" t="s">
        <v>8</v>
      </c>
      <c r="D80" s="1" t="s">
        <v>9</v>
      </c>
      <c r="E80" s="1" t="s">
        <v>10</v>
      </c>
      <c r="F80" s="1" t="s">
        <v>118</v>
      </c>
      <c r="G80" s="5">
        <v>2438.58</v>
      </c>
      <c r="H80" s="3" t="s">
        <v>12</v>
      </c>
    </row>
    <row r="81" spans="1:8" x14ac:dyDescent="0.3">
      <c r="A81" s="2">
        <v>46044</v>
      </c>
      <c r="B81" s="1" t="s">
        <v>15</v>
      </c>
      <c r="C81" s="1" t="s">
        <v>20</v>
      </c>
      <c r="D81" s="1" t="s">
        <v>9</v>
      </c>
      <c r="E81" s="1" t="s">
        <v>28</v>
      </c>
      <c r="F81" s="1" t="s">
        <v>119</v>
      </c>
      <c r="G81" s="5">
        <v>8478.7999999999993</v>
      </c>
      <c r="H81" s="3" t="s">
        <v>12</v>
      </c>
    </row>
    <row r="82" spans="1:8" x14ac:dyDescent="0.3">
      <c r="A82" s="2">
        <v>46043</v>
      </c>
      <c r="B82" s="1" t="s">
        <v>81</v>
      </c>
      <c r="C82" s="1" t="s">
        <v>30</v>
      </c>
      <c r="D82" s="1" t="s">
        <v>9</v>
      </c>
      <c r="E82" s="1" t="s">
        <v>10</v>
      </c>
      <c r="F82" s="1" t="s">
        <v>120</v>
      </c>
      <c r="G82" s="5">
        <v>345</v>
      </c>
      <c r="H82" s="3" t="s">
        <v>12</v>
      </c>
    </row>
    <row r="83" spans="1:8" x14ac:dyDescent="0.3">
      <c r="A83" s="2">
        <v>46043</v>
      </c>
      <c r="B83" s="1" t="s">
        <v>81</v>
      </c>
      <c r="C83" s="1" t="s">
        <v>30</v>
      </c>
      <c r="D83" s="1" t="s">
        <v>9</v>
      </c>
      <c r="E83" s="1" t="s">
        <v>10</v>
      </c>
      <c r="F83" s="1" t="s">
        <v>120</v>
      </c>
      <c r="G83" s="5">
        <v>334</v>
      </c>
      <c r="H83" s="3" t="s">
        <v>12</v>
      </c>
    </row>
    <row r="84" spans="1:8" x14ac:dyDescent="0.3">
      <c r="A84" s="2">
        <v>46043</v>
      </c>
      <c r="B84" s="1" t="s">
        <v>13</v>
      </c>
      <c r="C84" s="1" t="s">
        <v>30</v>
      </c>
      <c r="D84" s="1" t="s">
        <v>9</v>
      </c>
      <c r="E84" s="1" t="s">
        <v>10</v>
      </c>
      <c r="F84" s="1" t="s">
        <v>121</v>
      </c>
      <c r="G84" s="5">
        <v>225</v>
      </c>
      <c r="H84" s="3" t="s">
        <v>12</v>
      </c>
    </row>
    <row r="85" spans="1:8" x14ac:dyDescent="0.3">
      <c r="A85" s="2">
        <v>46043</v>
      </c>
      <c r="B85" s="1" t="s">
        <v>81</v>
      </c>
      <c r="C85" s="1" t="s">
        <v>30</v>
      </c>
      <c r="D85" s="1" t="s">
        <v>9</v>
      </c>
      <c r="E85" s="1" t="s">
        <v>10</v>
      </c>
      <c r="F85" s="1" t="s">
        <v>122</v>
      </c>
      <c r="G85" s="5">
        <v>652</v>
      </c>
      <c r="H85" s="3" t="s">
        <v>12</v>
      </c>
    </row>
    <row r="86" spans="1:8" x14ac:dyDescent="0.3">
      <c r="A86" s="2">
        <v>46043</v>
      </c>
      <c r="B86" s="1" t="s">
        <v>81</v>
      </c>
      <c r="C86" s="1" t="s">
        <v>30</v>
      </c>
      <c r="D86" s="1" t="s">
        <v>9</v>
      </c>
      <c r="E86" s="1" t="s">
        <v>10</v>
      </c>
      <c r="F86" s="1" t="s">
        <v>123</v>
      </c>
      <c r="G86" s="5">
        <v>690</v>
      </c>
      <c r="H86" s="3" t="s">
        <v>12</v>
      </c>
    </row>
    <row r="87" spans="1:8" x14ac:dyDescent="0.3">
      <c r="A87" s="2">
        <v>46043</v>
      </c>
      <c r="B87" s="1" t="s">
        <v>34</v>
      </c>
      <c r="C87" s="1" t="s">
        <v>8</v>
      </c>
      <c r="D87" s="1" t="s">
        <v>9</v>
      </c>
      <c r="E87" s="1" t="s">
        <v>10</v>
      </c>
      <c r="F87" s="1" t="s">
        <v>124</v>
      </c>
      <c r="G87" s="5">
        <v>552.75</v>
      </c>
      <c r="H87" s="3" t="s">
        <v>12</v>
      </c>
    </row>
    <row r="88" spans="1:8" x14ac:dyDescent="0.3">
      <c r="A88" s="2">
        <v>46043</v>
      </c>
      <c r="B88" s="1" t="s">
        <v>50</v>
      </c>
      <c r="C88" s="1" t="s">
        <v>8</v>
      </c>
      <c r="D88" s="1" t="s">
        <v>9</v>
      </c>
      <c r="E88" s="1" t="s">
        <v>10</v>
      </c>
      <c r="F88" s="1" t="s">
        <v>125</v>
      </c>
      <c r="G88" s="5">
        <v>176</v>
      </c>
      <c r="H88" s="3" t="s">
        <v>12</v>
      </c>
    </row>
    <row r="89" spans="1:8" x14ac:dyDescent="0.3">
      <c r="A89" s="2">
        <v>46043</v>
      </c>
      <c r="B89" s="1" t="s">
        <v>62</v>
      </c>
      <c r="C89" s="1" t="s">
        <v>8</v>
      </c>
      <c r="D89" s="1" t="s">
        <v>9</v>
      </c>
      <c r="E89" s="1" t="s">
        <v>10</v>
      </c>
      <c r="F89" s="1" t="s">
        <v>126</v>
      </c>
      <c r="G89" s="5">
        <v>994.98</v>
      </c>
      <c r="H89" s="3" t="s">
        <v>12</v>
      </c>
    </row>
    <row r="90" spans="1:8" x14ac:dyDescent="0.3">
      <c r="A90" s="2">
        <v>46043</v>
      </c>
      <c r="B90" s="1" t="s">
        <v>34</v>
      </c>
      <c r="C90" s="1" t="s">
        <v>8</v>
      </c>
      <c r="D90" s="1" t="s">
        <v>9</v>
      </c>
      <c r="E90" s="1" t="s">
        <v>10</v>
      </c>
      <c r="F90" s="1" t="s">
        <v>127</v>
      </c>
      <c r="G90" s="5">
        <v>926.69</v>
      </c>
      <c r="H90" s="3" t="s">
        <v>12</v>
      </c>
    </row>
    <row r="91" spans="1:8" x14ac:dyDescent="0.3">
      <c r="A91" s="2">
        <v>46043</v>
      </c>
      <c r="B91" s="1" t="s">
        <v>34</v>
      </c>
      <c r="C91" s="1" t="s">
        <v>8</v>
      </c>
      <c r="D91" s="1" t="s">
        <v>9</v>
      </c>
      <c r="E91" s="1" t="s">
        <v>10</v>
      </c>
      <c r="F91" s="1" t="s">
        <v>128</v>
      </c>
      <c r="G91" s="5">
        <v>1979.1</v>
      </c>
      <c r="H91" s="3" t="s">
        <v>12</v>
      </c>
    </row>
    <row r="92" spans="1:8" x14ac:dyDescent="0.3">
      <c r="A92" s="2">
        <v>46043</v>
      </c>
      <c r="B92" s="1" t="s">
        <v>89</v>
      </c>
      <c r="C92" s="1" t="s">
        <v>8</v>
      </c>
      <c r="D92" s="1" t="s">
        <v>9</v>
      </c>
      <c r="E92" s="1" t="s">
        <v>10</v>
      </c>
      <c r="F92" s="1" t="s">
        <v>129</v>
      </c>
      <c r="G92" s="5">
        <v>1372</v>
      </c>
      <c r="H92" s="3" t="s">
        <v>12</v>
      </c>
    </row>
    <row r="93" spans="1:8" x14ac:dyDescent="0.3">
      <c r="A93" s="2">
        <v>46043</v>
      </c>
      <c r="B93" s="1" t="s">
        <v>15</v>
      </c>
      <c r="C93" s="1" t="s">
        <v>8</v>
      </c>
      <c r="D93" s="1" t="s">
        <v>9</v>
      </c>
      <c r="E93" s="1" t="s">
        <v>10</v>
      </c>
      <c r="F93" s="1" t="s">
        <v>130</v>
      </c>
      <c r="G93" s="5">
        <v>210</v>
      </c>
      <c r="H93" s="3" t="s">
        <v>12</v>
      </c>
    </row>
    <row r="94" spans="1:8" x14ac:dyDescent="0.3">
      <c r="A94" s="2">
        <v>46042</v>
      </c>
      <c r="B94" s="1" t="s">
        <v>50</v>
      </c>
      <c r="C94" s="1" t="s">
        <v>30</v>
      </c>
      <c r="D94" s="1" t="s">
        <v>9</v>
      </c>
      <c r="E94" s="1" t="s">
        <v>10</v>
      </c>
      <c r="F94" s="1" t="s">
        <v>131</v>
      </c>
      <c r="G94" s="5">
        <v>93</v>
      </c>
      <c r="H94" s="3" t="s">
        <v>12</v>
      </c>
    </row>
    <row r="95" spans="1:8" x14ac:dyDescent="0.3">
      <c r="A95" s="2">
        <v>46042</v>
      </c>
      <c r="B95" s="1" t="s">
        <v>60</v>
      </c>
      <c r="C95" s="1" t="s">
        <v>8</v>
      </c>
      <c r="D95" s="1" t="s">
        <v>9</v>
      </c>
      <c r="E95" s="1" t="s">
        <v>10</v>
      </c>
      <c r="F95" s="1" t="s">
        <v>132</v>
      </c>
      <c r="G95" s="5">
        <v>1149</v>
      </c>
      <c r="H95" s="3" t="s">
        <v>12</v>
      </c>
    </row>
    <row r="96" spans="1:8" x14ac:dyDescent="0.3">
      <c r="A96" s="2">
        <v>46042</v>
      </c>
      <c r="B96" s="1" t="s">
        <v>15</v>
      </c>
      <c r="C96" s="1" t="s">
        <v>8</v>
      </c>
      <c r="D96" s="1" t="s">
        <v>9</v>
      </c>
      <c r="E96" s="1" t="s">
        <v>10</v>
      </c>
      <c r="F96" s="1" t="s">
        <v>133</v>
      </c>
      <c r="G96" s="5">
        <v>2752</v>
      </c>
      <c r="H96" s="3" t="s">
        <v>12</v>
      </c>
    </row>
    <row r="97" spans="1:8" x14ac:dyDescent="0.3">
      <c r="A97" s="2">
        <v>46041</v>
      </c>
      <c r="B97" s="1" t="s">
        <v>45</v>
      </c>
      <c r="C97" s="1" t="s">
        <v>20</v>
      </c>
      <c r="D97" s="1" t="s">
        <v>9</v>
      </c>
      <c r="E97" s="1" t="s">
        <v>10</v>
      </c>
      <c r="F97" s="1" t="s">
        <v>134</v>
      </c>
      <c r="G97" s="5">
        <v>3851.9</v>
      </c>
      <c r="H97" s="3" t="s">
        <v>12</v>
      </c>
    </row>
    <row r="98" spans="1:8" x14ac:dyDescent="0.3">
      <c r="A98" s="2">
        <v>46041</v>
      </c>
      <c r="B98" s="1" t="s">
        <v>135</v>
      </c>
      <c r="C98" s="1" t="s">
        <v>20</v>
      </c>
      <c r="D98" s="1" t="s">
        <v>9</v>
      </c>
      <c r="E98" s="1" t="s">
        <v>10</v>
      </c>
      <c r="F98" s="1" t="s">
        <v>136</v>
      </c>
      <c r="G98" s="5">
        <v>179091.95</v>
      </c>
      <c r="H98" s="3" t="s">
        <v>12</v>
      </c>
    </row>
    <row r="99" spans="1:8" x14ac:dyDescent="0.3">
      <c r="A99" s="2">
        <v>46041</v>
      </c>
      <c r="B99" s="1" t="s">
        <v>79</v>
      </c>
      <c r="C99" s="1" t="s">
        <v>8</v>
      </c>
      <c r="D99" s="1" t="s">
        <v>23</v>
      </c>
      <c r="E99" s="1" t="s">
        <v>10</v>
      </c>
      <c r="F99" s="1" t="s">
        <v>137</v>
      </c>
      <c r="G99" s="5">
        <v>470</v>
      </c>
      <c r="H99" s="3" t="s">
        <v>12</v>
      </c>
    </row>
    <row r="100" spans="1:8" x14ac:dyDescent="0.3">
      <c r="A100" s="2">
        <v>46041</v>
      </c>
      <c r="B100" s="1" t="s">
        <v>13</v>
      </c>
      <c r="C100" s="1" t="s">
        <v>8</v>
      </c>
      <c r="D100" s="1" t="s">
        <v>9</v>
      </c>
      <c r="E100" s="1" t="s">
        <v>10</v>
      </c>
      <c r="F100" s="1" t="s">
        <v>138</v>
      </c>
      <c r="G100" s="5">
        <v>251.05</v>
      </c>
      <c r="H100" s="3" t="s">
        <v>12</v>
      </c>
    </row>
    <row r="101" spans="1:8" x14ac:dyDescent="0.3">
      <c r="A101" s="2">
        <v>46041</v>
      </c>
      <c r="B101" s="1" t="s">
        <v>34</v>
      </c>
      <c r="C101" s="1" t="s">
        <v>8</v>
      </c>
      <c r="D101" s="1" t="s">
        <v>9</v>
      </c>
      <c r="E101" s="1" t="s">
        <v>10</v>
      </c>
      <c r="F101" s="1" t="s">
        <v>139</v>
      </c>
      <c r="G101" s="5">
        <v>1100.77</v>
      </c>
      <c r="H101" s="3" t="s">
        <v>12</v>
      </c>
    </row>
    <row r="102" spans="1:8" x14ac:dyDescent="0.3">
      <c r="A102" s="2">
        <v>46041</v>
      </c>
      <c r="B102" s="1" t="s">
        <v>13</v>
      </c>
      <c r="C102" s="1" t="s">
        <v>8</v>
      </c>
      <c r="D102" s="1" t="s">
        <v>9</v>
      </c>
      <c r="E102" s="1" t="s">
        <v>10</v>
      </c>
      <c r="F102" s="1" t="s">
        <v>140</v>
      </c>
      <c r="G102" s="5">
        <v>320</v>
      </c>
      <c r="H102" s="3" t="s">
        <v>12</v>
      </c>
    </row>
    <row r="103" spans="1:8" x14ac:dyDescent="0.3">
      <c r="A103" s="2">
        <v>46041</v>
      </c>
      <c r="B103" s="1" t="s">
        <v>79</v>
      </c>
      <c r="C103" s="1" t="s">
        <v>8</v>
      </c>
      <c r="D103" s="1" t="s">
        <v>9</v>
      </c>
      <c r="E103" s="1" t="s">
        <v>28</v>
      </c>
      <c r="F103" s="1" t="s">
        <v>141</v>
      </c>
      <c r="G103" s="5">
        <v>195</v>
      </c>
      <c r="H103" s="3" t="s">
        <v>12</v>
      </c>
    </row>
    <row r="104" spans="1:8" x14ac:dyDescent="0.3">
      <c r="A104" s="2">
        <v>46041</v>
      </c>
      <c r="B104" s="1" t="s">
        <v>79</v>
      </c>
      <c r="C104" s="1" t="s">
        <v>30</v>
      </c>
      <c r="D104" s="1" t="s">
        <v>9</v>
      </c>
      <c r="E104" s="1" t="s">
        <v>79</v>
      </c>
      <c r="F104" s="1" t="s">
        <v>142</v>
      </c>
      <c r="G104" s="5">
        <v>450</v>
      </c>
      <c r="H104" s="3" t="s">
        <v>12</v>
      </c>
    </row>
    <row r="105" spans="1:8" x14ac:dyDescent="0.3">
      <c r="A105" s="2">
        <v>46041</v>
      </c>
      <c r="B105" s="1" t="s">
        <v>34</v>
      </c>
      <c r="C105" s="1" t="s">
        <v>8</v>
      </c>
      <c r="D105" s="1" t="s">
        <v>9</v>
      </c>
      <c r="E105" s="1" t="s">
        <v>10</v>
      </c>
      <c r="F105" s="1" t="s">
        <v>143</v>
      </c>
      <c r="G105" s="5">
        <v>532.4</v>
      </c>
      <c r="H105" s="3" t="s">
        <v>12</v>
      </c>
    </row>
    <row r="106" spans="1:8" x14ac:dyDescent="0.3">
      <c r="A106" s="2">
        <v>46039</v>
      </c>
      <c r="B106" s="1" t="s">
        <v>34</v>
      </c>
      <c r="C106" s="1" t="s">
        <v>8</v>
      </c>
      <c r="D106" s="1" t="s">
        <v>9</v>
      </c>
      <c r="E106" s="1" t="s">
        <v>10</v>
      </c>
      <c r="F106" s="1" t="s">
        <v>144</v>
      </c>
      <c r="G106" s="5">
        <v>1328.93</v>
      </c>
      <c r="H106" s="3" t="s">
        <v>12</v>
      </c>
    </row>
    <row r="107" spans="1:8" x14ac:dyDescent="0.3">
      <c r="A107" s="2">
        <v>46038</v>
      </c>
      <c r="B107" s="1" t="s">
        <v>25</v>
      </c>
      <c r="C107" s="1" t="s">
        <v>20</v>
      </c>
      <c r="D107" s="1" t="s">
        <v>9</v>
      </c>
      <c r="E107" s="1" t="s">
        <v>26</v>
      </c>
      <c r="F107" s="1" t="s">
        <v>145</v>
      </c>
      <c r="G107" s="5">
        <v>156069.13</v>
      </c>
      <c r="H107" s="3" t="s">
        <v>12</v>
      </c>
    </row>
    <row r="108" spans="1:8" x14ac:dyDescent="0.3">
      <c r="A108" s="2">
        <v>46038</v>
      </c>
      <c r="B108" s="1" t="s">
        <v>25</v>
      </c>
      <c r="C108" s="1" t="s">
        <v>20</v>
      </c>
      <c r="D108" s="1" t="s">
        <v>9</v>
      </c>
      <c r="E108" s="1" t="s">
        <v>28</v>
      </c>
      <c r="F108" s="1" t="s">
        <v>146</v>
      </c>
      <c r="G108" s="5">
        <v>10968.39</v>
      </c>
      <c r="H108" s="3" t="s">
        <v>12</v>
      </c>
    </row>
    <row r="109" spans="1:8" x14ac:dyDescent="0.3">
      <c r="A109" s="2">
        <v>46038</v>
      </c>
      <c r="B109" s="1" t="s">
        <v>29</v>
      </c>
      <c r="C109" s="1" t="s">
        <v>30</v>
      </c>
      <c r="D109" s="1" t="s">
        <v>9</v>
      </c>
      <c r="E109" s="1" t="s">
        <v>28</v>
      </c>
      <c r="F109" s="1" t="s">
        <v>147</v>
      </c>
      <c r="G109" s="5">
        <v>8735</v>
      </c>
      <c r="H109" s="3" t="s">
        <v>12</v>
      </c>
    </row>
    <row r="110" spans="1:8" x14ac:dyDescent="0.3">
      <c r="A110" s="2">
        <v>46038</v>
      </c>
      <c r="B110" s="1" t="s">
        <v>34</v>
      </c>
      <c r="C110" s="1" t="s">
        <v>102</v>
      </c>
      <c r="D110" s="1" t="s">
        <v>23</v>
      </c>
      <c r="E110" s="1" t="s">
        <v>10</v>
      </c>
      <c r="F110" s="1" t="s">
        <v>148</v>
      </c>
      <c r="G110" s="5">
        <v>1437.47</v>
      </c>
      <c r="H110" s="3" t="s">
        <v>12</v>
      </c>
    </row>
    <row r="111" spans="1:8" x14ac:dyDescent="0.3">
      <c r="A111" s="2">
        <v>46038</v>
      </c>
      <c r="B111" s="1" t="s">
        <v>17</v>
      </c>
      <c r="C111" s="1" t="s">
        <v>20</v>
      </c>
      <c r="D111" s="1" t="s">
        <v>9</v>
      </c>
      <c r="E111" s="1" t="s">
        <v>10</v>
      </c>
      <c r="F111" s="1" t="s">
        <v>149</v>
      </c>
      <c r="G111" s="5">
        <v>316.10000000000002</v>
      </c>
      <c r="H111" s="3" t="s">
        <v>12</v>
      </c>
    </row>
    <row r="112" spans="1:8" x14ac:dyDescent="0.3">
      <c r="A112" s="2">
        <v>46037</v>
      </c>
      <c r="B112" s="1" t="s">
        <v>29</v>
      </c>
      <c r="C112" s="1" t="s">
        <v>8</v>
      </c>
      <c r="D112" s="1" t="s">
        <v>9</v>
      </c>
      <c r="E112" s="1" t="s">
        <v>10</v>
      </c>
      <c r="F112" s="1" t="s">
        <v>150</v>
      </c>
      <c r="G112" s="5">
        <v>229</v>
      </c>
      <c r="H112" s="3" t="s">
        <v>12</v>
      </c>
    </row>
    <row r="113" spans="1:8" x14ac:dyDescent="0.3">
      <c r="A113" s="2">
        <v>46037</v>
      </c>
      <c r="B113" s="1" t="s">
        <v>50</v>
      </c>
      <c r="C113" s="1" t="s">
        <v>30</v>
      </c>
      <c r="D113" s="1" t="s">
        <v>9</v>
      </c>
      <c r="E113" s="1" t="s">
        <v>10</v>
      </c>
      <c r="F113" s="1" t="s">
        <v>151</v>
      </c>
      <c r="G113" s="5">
        <v>80</v>
      </c>
      <c r="H113" s="3" t="s">
        <v>12</v>
      </c>
    </row>
    <row r="114" spans="1:8" x14ac:dyDescent="0.3">
      <c r="A114" s="2">
        <v>46037</v>
      </c>
      <c r="B114" s="1" t="s">
        <v>370</v>
      </c>
      <c r="C114" s="1" t="s">
        <v>43</v>
      </c>
      <c r="D114" s="1" t="s">
        <v>9</v>
      </c>
      <c r="E114" s="1" t="s">
        <v>10</v>
      </c>
      <c r="F114" s="1" t="s">
        <v>152</v>
      </c>
      <c r="G114" s="5">
        <v>24012</v>
      </c>
      <c r="H114" s="3" t="s">
        <v>12</v>
      </c>
    </row>
    <row r="115" spans="1:8" x14ac:dyDescent="0.3">
      <c r="A115" s="2">
        <v>46037</v>
      </c>
      <c r="B115" s="1" t="s">
        <v>29</v>
      </c>
      <c r="C115" s="1" t="s">
        <v>8</v>
      </c>
      <c r="D115" s="1" t="s">
        <v>9</v>
      </c>
      <c r="E115" s="1" t="s">
        <v>10</v>
      </c>
      <c r="F115" s="1" t="s">
        <v>153</v>
      </c>
      <c r="G115" s="5">
        <v>5904.94</v>
      </c>
      <c r="H115" s="3" t="s">
        <v>12</v>
      </c>
    </row>
    <row r="116" spans="1:8" x14ac:dyDescent="0.3">
      <c r="A116" s="2">
        <v>46037</v>
      </c>
      <c r="B116" s="1" t="s">
        <v>154</v>
      </c>
      <c r="C116" s="1" t="s">
        <v>20</v>
      </c>
      <c r="D116" s="1" t="s">
        <v>9</v>
      </c>
      <c r="E116" s="1" t="s">
        <v>10</v>
      </c>
      <c r="F116" s="1" t="s">
        <v>155</v>
      </c>
      <c r="G116" s="5">
        <v>10716.99</v>
      </c>
      <c r="H116" s="3" t="s">
        <v>12</v>
      </c>
    </row>
    <row r="117" spans="1:8" x14ac:dyDescent="0.3">
      <c r="A117" s="2">
        <v>46037</v>
      </c>
      <c r="B117" s="1" t="s">
        <v>15</v>
      </c>
      <c r="C117" s="1" t="s">
        <v>8</v>
      </c>
      <c r="D117" s="1" t="s">
        <v>9</v>
      </c>
      <c r="E117" s="1" t="s">
        <v>28</v>
      </c>
      <c r="F117" s="1" t="s">
        <v>156</v>
      </c>
      <c r="G117" s="5">
        <v>221.93</v>
      </c>
      <c r="H117" s="3" t="s">
        <v>12</v>
      </c>
    </row>
    <row r="118" spans="1:8" x14ac:dyDescent="0.3">
      <c r="A118" s="2">
        <v>46036</v>
      </c>
      <c r="B118" s="1" t="s">
        <v>15</v>
      </c>
      <c r="C118" s="1" t="s">
        <v>102</v>
      </c>
      <c r="D118" s="1" t="s">
        <v>9</v>
      </c>
      <c r="E118" s="1" t="s">
        <v>10</v>
      </c>
      <c r="F118" s="1" t="s">
        <v>157</v>
      </c>
      <c r="G118" s="5">
        <v>75</v>
      </c>
      <c r="H118" s="3" t="s">
        <v>12</v>
      </c>
    </row>
    <row r="119" spans="1:8" x14ac:dyDescent="0.3">
      <c r="A119" s="2">
        <v>46036</v>
      </c>
      <c r="B119" s="1" t="s">
        <v>135</v>
      </c>
      <c r="C119" s="1" t="s">
        <v>20</v>
      </c>
      <c r="D119" s="1" t="s">
        <v>9</v>
      </c>
      <c r="E119" s="1" t="s">
        <v>10</v>
      </c>
      <c r="F119" s="1" t="s">
        <v>158</v>
      </c>
      <c r="G119" s="5">
        <v>22.97</v>
      </c>
      <c r="H119" s="3" t="s">
        <v>12</v>
      </c>
    </row>
    <row r="120" spans="1:8" x14ac:dyDescent="0.3">
      <c r="A120" s="2">
        <v>46036</v>
      </c>
      <c r="B120" s="1" t="s">
        <v>7</v>
      </c>
      <c r="C120" s="1" t="s">
        <v>8</v>
      </c>
      <c r="D120" s="1" t="s">
        <v>9</v>
      </c>
      <c r="E120" s="1" t="s">
        <v>10</v>
      </c>
      <c r="F120" s="1" t="s">
        <v>159</v>
      </c>
      <c r="G120" s="5">
        <v>469.64</v>
      </c>
      <c r="H120" s="3" t="s">
        <v>12</v>
      </c>
    </row>
    <row r="121" spans="1:8" x14ac:dyDescent="0.3">
      <c r="A121" s="2">
        <v>46036</v>
      </c>
      <c r="B121" s="1" t="s">
        <v>160</v>
      </c>
      <c r="C121" s="1" t="s">
        <v>8</v>
      </c>
      <c r="D121" s="1" t="s">
        <v>9</v>
      </c>
      <c r="E121" s="1" t="s">
        <v>10</v>
      </c>
      <c r="F121" s="1" t="s">
        <v>161</v>
      </c>
      <c r="G121" s="5">
        <v>174</v>
      </c>
      <c r="H121" s="3" t="s">
        <v>12</v>
      </c>
    </row>
    <row r="122" spans="1:8" x14ac:dyDescent="0.3">
      <c r="A122" s="2">
        <v>46036</v>
      </c>
      <c r="B122" s="1" t="s">
        <v>34</v>
      </c>
      <c r="C122" s="1" t="s">
        <v>20</v>
      </c>
      <c r="D122" s="1" t="s">
        <v>23</v>
      </c>
      <c r="E122" s="1" t="s">
        <v>10</v>
      </c>
      <c r="F122" s="1" t="s">
        <v>162</v>
      </c>
      <c r="G122" s="5">
        <v>1200.06</v>
      </c>
      <c r="H122" s="3" t="s">
        <v>12</v>
      </c>
    </row>
    <row r="123" spans="1:8" x14ac:dyDescent="0.3">
      <c r="A123" s="2">
        <v>46036</v>
      </c>
      <c r="B123" s="1" t="s">
        <v>163</v>
      </c>
      <c r="C123" s="1" t="s">
        <v>8</v>
      </c>
      <c r="D123" s="1" t="s">
        <v>9</v>
      </c>
      <c r="E123" s="1" t="s">
        <v>10</v>
      </c>
      <c r="F123" s="1" t="s">
        <v>164</v>
      </c>
      <c r="G123" s="5">
        <v>438</v>
      </c>
      <c r="H123" s="3" t="s">
        <v>12</v>
      </c>
    </row>
    <row r="124" spans="1:8" x14ac:dyDescent="0.3">
      <c r="A124" s="2">
        <v>46036</v>
      </c>
      <c r="B124" s="1" t="s">
        <v>15</v>
      </c>
      <c r="C124" s="1" t="s">
        <v>8</v>
      </c>
      <c r="D124" s="1" t="s">
        <v>9</v>
      </c>
      <c r="E124" s="1" t="s">
        <v>28</v>
      </c>
      <c r="F124" s="1" t="s">
        <v>165</v>
      </c>
      <c r="G124" s="5">
        <v>1926.53</v>
      </c>
      <c r="H124" s="3" t="s">
        <v>12</v>
      </c>
    </row>
    <row r="125" spans="1:8" x14ac:dyDescent="0.3">
      <c r="A125" s="2">
        <v>46036</v>
      </c>
      <c r="B125" s="1" t="s">
        <v>15</v>
      </c>
      <c r="C125" s="1" t="s">
        <v>8</v>
      </c>
      <c r="D125" s="1" t="s">
        <v>9</v>
      </c>
      <c r="E125" s="1" t="s">
        <v>28</v>
      </c>
      <c r="F125" s="1" t="s">
        <v>166</v>
      </c>
      <c r="G125" s="5">
        <v>132.65</v>
      </c>
      <c r="H125" s="3" t="s">
        <v>12</v>
      </c>
    </row>
    <row r="126" spans="1:8" x14ac:dyDescent="0.3">
      <c r="A126" s="2">
        <v>46036</v>
      </c>
      <c r="B126" s="1" t="s">
        <v>15</v>
      </c>
      <c r="C126" s="1" t="s">
        <v>8</v>
      </c>
      <c r="D126" s="1" t="s">
        <v>9</v>
      </c>
      <c r="E126" s="1" t="s">
        <v>28</v>
      </c>
      <c r="F126" s="1" t="s">
        <v>167</v>
      </c>
      <c r="G126" s="5">
        <v>1570</v>
      </c>
      <c r="H126" s="3" t="s">
        <v>12</v>
      </c>
    </row>
    <row r="127" spans="1:8" x14ac:dyDescent="0.3">
      <c r="A127" s="2">
        <v>46035</v>
      </c>
      <c r="B127" s="1" t="s">
        <v>7</v>
      </c>
      <c r="C127" s="1" t="s">
        <v>8</v>
      </c>
      <c r="D127" s="1" t="s">
        <v>9</v>
      </c>
      <c r="E127" s="1" t="s">
        <v>10</v>
      </c>
      <c r="F127" s="1" t="s">
        <v>168</v>
      </c>
      <c r="G127" s="5">
        <v>108</v>
      </c>
      <c r="H127" s="3" t="s">
        <v>12</v>
      </c>
    </row>
    <row r="128" spans="1:8" x14ac:dyDescent="0.3">
      <c r="A128" s="2">
        <v>46035</v>
      </c>
      <c r="B128" s="1" t="s">
        <v>169</v>
      </c>
      <c r="C128" s="1" t="s">
        <v>8</v>
      </c>
      <c r="D128" s="1" t="s">
        <v>9</v>
      </c>
      <c r="E128" s="1" t="s">
        <v>10</v>
      </c>
      <c r="F128" s="1" t="s">
        <v>170</v>
      </c>
      <c r="G128" s="5">
        <v>9047.74</v>
      </c>
      <c r="H128" s="3" t="s">
        <v>12</v>
      </c>
    </row>
    <row r="129" spans="1:8" x14ac:dyDescent="0.3">
      <c r="A129" s="2">
        <v>46035</v>
      </c>
      <c r="B129" s="1" t="s">
        <v>45</v>
      </c>
      <c r="C129" s="1" t="s">
        <v>20</v>
      </c>
      <c r="D129" s="1" t="s">
        <v>9</v>
      </c>
      <c r="E129" s="1" t="s">
        <v>10</v>
      </c>
      <c r="F129" s="1" t="s">
        <v>48</v>
      </c>
      <c r="G129" s="5">
        <v>119</v>
      </c>
      <c r="H129" s="3" t="s">
        <v>12</v>
      </c>
    </row>
    <row r="130" spans="1:8" x14ac:dyDescent="0.3">
      <c r="A130" s="2">
        <v>46035</v>
      </c>
      <c r="B130" s="1" t="s">
        <v>7</v>
      </c>
      <c r="C130" s="1" t="s">
        <v>20</v>
      </c>
      <c r="D130" s="1" t="s">
        <v>9</v>
      </c>
      <c r="E130" s="1" t="s">
        <v>10</v>
      </c>
      <c r="F130" s="1" t="s">
        <v>171</v>
      </c>
      <c r="G130" s="5">
        <v>1156</v>
      </c>
      <c r="H130" s="3" t="s">
        <v>12</v>
      </c>
    </row>
    <row r="131" spans="1:8" x14ac:dyDescent="0.3">
      <c r="A131" s="2">
        <v>46035</v>
      </c>
      <c r="B131" s="1" t="s">
        <v>19</v>
      </c>
      <c r="C131" s="1" t="s">
        <v>20</v>
      </c>
      <c r="D131" s="1" t="s">
        <v>9</v>
      </c>
      <c r="E131" s="1" t="s">
        <v>10</v>
      </c>
      <c r="F131" s="1" t="s">
        <v>172</v>
      </c>
      <c r="G131" s="5">
        <v>1499</v>
      </c>
      <c r="H131" s="3" t="s">
        <v>12</v>
      </c>
    </row>
    <row r="132" spans="1:8" x14ac:dyDescent="0.3">
      <c r="A132" s="2">
        <v>46034</v>
      </c>
      <c r="B132" s="1" t="s">
        <v>79</v>
      </c>
      <c r="C132" s="1" t="s">
        <v>8</v>
      </c>
      <c r="D132" s="1" t="s">
        <v>9</v>
      </c>
      <c r="E132" s="1" t="s">
        <v>10</v>
      </c>
      <c r="F132" s="1" t="s">
        <v>173</v>
      </c>
      <c r="G132" s="5">
        <v>125</v>
      </c>
      <c r="H132" s="3" t="s">
        <v>12</v>
      </c>
    </row>
    <row r="133" spans="1:8" x14ac:dyDescent="0.3">
      <c r="A133" s="2">
        <v>46034</v>
      </c>
      <c r="B133" s="1" t="s">
        <v>34</v>
      </c>
      <c r="C133" s="1" t="s">
        <v>8</v>
      </c>
      <c r="D133" s="1" t="s">
        <v>9</v>
      </c>
      <c r="E133" s="1" t="s">
        <v>10</v>
      </c>
      <c r="F133" s="1" t="s">
        <v>174</v>
      </c>
      <c r="G133" s="5">
        <v>1350.12</v>
      </c>
      <c r="H133" s="3" t="s">
        <v>12</v>
      </c>
    </row>
    <row r="134" spans="1:8" x14ac:dyDescent="0.3">
      <c r="A134" s="2">
        <v>46034</v>
      </c>
      <c r="B134" s="1" t="s">
        <v>34</v>
      </c>
      <c r="C134" s="1" t="s">
        <v>8</v>
      </c>
      <c r="D134" s="1" t="s">
        <v>9</v>
      </c>
      <c r="E134" s="1" t="s">
        <v>10</v>
      </c>
      <c r="F134" s="1" t="s">
        <v>175</v>
      </c>
      <c r="G134" s="5">
        <v>560.30999999999995</v>
      </c>
      <c r="H134" s="3" t="s">
        <v>12</v>
      </c>
    </row>
    <row r="135" spans="1:8" x14ac:dyDescent="0.3">
      <c r="A135" s="2">
        <v>46034</v>
      </c>
      <c r="B135" s="1" t="s">
        <v>34</v>
      </c>
      <c r="C135" s="1" t="s">
        <v>8</v>
      </c>
      <c r="D135" s="1" t="s">
        <v>9</v>
      </c>
      <c r="E135" s="1" t="s">
        <v>10</v>
      </c>
      <c r="F135" s="1" t="s">
        <v>176</v>
      </c>
      <c r="G135" s="5">
        <v>607.97</v>
      </c>
      <c r="H135" s="3" t="s">
        <v>12</v>
      </c>
    </row>
    <row r="136" spans="1:8" x14ac:dyDescent="0.3">
      <c r="A136" s="2">
        <v>46034</v>
      </c>
      <c r="B136" s="1" t="s">
        <v>34</v>
      </c>
      <c r="C136" s="1" t="s">
        <v>8</v>
      </c>
      <c r="D136" s="1" t="s">
        <v>9</v>
      </c>
      <c r="E136" s="1" t="s">
        <v>10</v>
      </c>
      <c r="F136" s="1" t="s">
        <v>177</v>
      </c>
      <c r="G136" s="5">
        <v>650.48</v>
      </c>
      <c r="H136" s="3" t="s">
        <v>12</v>
      </c>
    </row>
    <row r="137" spans="1:8" x14ac:dyDescent="0.3">
      <c r="A137" s="2">
        <v>46034</v>
      </c>
      <c r="B137" s="1" t="s">
        <v>34</v>
      </c>
      <c r="C137" s="1" t="s">
        <v>8</v>
      </c>
      <c r="D137" s="1" t="s">
        <v>9</v>
      </c>
      <c r="E137" s="1" t="s">
        <v>10</v>
      </c>
      <c r="F137" s="1" t="s">
        <v>178</v>
      </c>
      <c r="G137" s="5">
        <v>957.96</v>
      </c>
      <c r="H137" s="3" t="s">
        <v>12</v>
      </c>
    </row>
    <row r="138" spans="1:8" x14ac:dyDescent="0.3">
      <c r="A138" s="2">
        <v>46034</v>
      </c>
      <c r="B138" s="1" t="s">
        <v>34</v>
      </c>
      <c r="C138" s="1" t="s">
        <v>8</v>
      </c>
      <c r="D138" s="1" t="s">
        <v>9</v>
      </c>
      <c r="E138" s="1" t="s">
        <v>10</v>
      </c>
      <c r="F138" s="1" t="s">
        <v>179</v>
      </c>
      <c r="G138" s="5">
        <v>965.1</v>
      </c>
      <c r="H138" s="3" t="s">
        <v>12</v>
      </c>
    </row>
    <row r="139" spans="1:8" x14ac:dyDescent="0.3">
      <c r="A139" s="2">
        <v>46034</v>
      </c>
      <c r="B139" s="1" t="s">
        <v>180</v>
      </c>
      <c r="C139" s="1" t="s">
        <v>8</v>
      </c>
      <c r="D139" s="1" t="s">
        <v>9</v>
      </c>
      <c r="E139" s="1" t="s">
        <v>10</v>
      </c>
      <c r="F139" s="1" t="s">
        <v>181</v>
      </c>
      <c r="G139" s="5">
        <v>195</v>
      </c>
      <c r="H139" s="3" t="s">
        <v>12</v>
      </c>
    </row>
    <row r="140" spans="1:8" x14ac:dyDescent="0.3">
      <c r="A140" s="2">
        <v>46034</v>
      </c>
      <c r="B140" s="1" t="s">
        <v>15</v>
      </c>
      <c r="C140" s="1" t="s">
        <v>8</v>
      </c>
      <c r="D140" s="1" t="s">
        <v>9</v>
      </c>
      <c r="E140" s="1" t="s">
        <v>10</v>
      </c>
      <c r="F140" s="1" t="s">
        <v>182</v>
      </c>
      <c r="G140" s="5">
        <v>2365.0100000000002</v>
      </c>
      <c r="H140" s="3" t="s">
        <v>12</v>
      </c>
    </row>
    <row r="141" spans="1:8" x14ac:dyDescent="0.3">
      <c r="A141" s="2">
        <v>46034</v>
      </c>
      <c r="B141" s="1" t="s">
        <v>7</v>
      </c>
      <c r="C141" s="1" t="s">
        <v>8</v>
      </c>
      <c r="D141" s="1" t="s">
        <v>9</v>
      </c>
      <c r="E141" s="1" t="s">
        <v>10</v>
      </c>
      <c r="F141" s="1" t="s">
        <v>183</v>
      </c>
      <c r="G141" s="5">
        <v>432</v>
      </c>
      <c r="H141" s="3" t="s">
        <v>12</v>
      </c>
    </row>
    <row r="142" spans="1:8" x14ac:dyDescent="0.3">
      <c r="A142" s="2">
        <v>46034</v>
      </c>
      <c r="B142" s="1" t="s">
        <v>163</v>
      </c>
      <c r="C142" s="1" t="s">
        <v>8</v>
      </c>
      <c r="D142" s="1" t="s">
        <v>9</v>
      </c>
      <c r="E142" s="1" t="s">
        <v>10</v>
      </c>
      <c r="F142" s="1" t="s">
        <v>184</v>
      </c>
      <c r="G142" s="5">
        <v>174.14</v>
      </c>
      <c r="H142" s="3" t="s">
        <v>12</v>
      </c>
    </row>
    <row r="143" spans="1:8" x14ac:dyDescent="0.3">
      <c r="A143" s="2">
        <v>46034</v>
      </c>
      <c r="B143" s="1" t="s">
        <v>15</v>
      </c>
      <c r="C143" s="1" t="s">
        <v>8</v>
      </c>
      <c r="D143" s="1" t="s">
        <v>9</v>
      </c>
      <c r="E143" s="1" t="s">
        <v>10</v>
      </c>
      <c r="F143" s="1" t="s">
        <v>185</v>
      </c>
      <c r="G143" s="5">
        <v>1026</v>
      </c>
      <c r="H143" s="3" t="s">
        <v>12</v>
      </c>
    </row>
    <row r="144" spans="1:8" x14ac:dyDescent="0.3">
      <c r="A144" s="2">
        <v>46034</v>
      </c>
      <c r="B144" s="1" t="s">
        <v>79</v>
      </c>
      <c r="C144" s="1" t="s">
        <v>30</v>
      </c>
      <c r="D144" s="1" t="s">
        <v>9</v>
      </c>
      <c r="E144" s="1" t="s">
        <v>28</v>
      </c>
      <c r="F144" s="1" t="s">
        <v>186</v>
      </c>
      <c r="G144" s="5">
        <v>550</v>
      </c>
      <c r="H144" s="3" t="s">
        <v>12</v>
      </c>
    </row>
    <row r="145" spans="1:8" x14ac:dyDescent="0.3">
      <c r="A145" s="2">
        <v>46033</v>
      </c>
      <c r="B145" s="1" t="s">
        <v>34</v>
      </c>
      <c r="C145" s="1" t="s">
        <v>8</v>
      </c>
      <c r="D145" s="1" t="s">
        <v>9</v>
      </c>
      <c r="E145" s="1" t="s">
        <v>10</v>
      </c>
      <c r="F145" s="1" t="s">
        <v>187</v>
      </c>
      <c r="G145" s="5">
        <v>1817.63</v>
      </c>
      <c r="H145" s="3" t="s">
        <v>12</v>
      </c>
    </row>
    <row r="146" spans="1:8" x14ac:dyDescent="0.3">
      <c r="A146" s="2">
        <v>46033</v>
      </c>
      <c r="B146" s="1" t="s">
        <v>13</v>
      </c>
      <c r="C146" s="1" t="s">
        <v>8</v>
      </c>
      <c r="D146" s="1" t="s">
        <v>9</v>
      </c>
      <c r="E146" s="1" t="s">
        <v>10</v>
      </c>
      <c r="F146" s="1" t="s">
        <v>188</v>
      </c>
      <c r="G146" s="5">
        <v>1206</v>
      </c>
      <c r="H146" s="3" t="s">
        <v>12</v>
      </c>
    </row>
    <row r="147" spans="1:8" x14ac:dyDescent="0.3">
      <c r="A147" s="2">
        <v>46033</v>
      </c>
      <c r="B147" s="1" t="s">
        <v>13</v>
      </c>
      <c r="C147" s="1" t="s">
        <v>8</v>
      </c>
      <c r="D147" s="1" t="s">
        <v>9</v>
      </c>
      <c r="E147" s="1" t="s">
        <v>10</v>
      </c>
      <c r="F147" s="1" t="s">
        <v>189</v>
      </c>
      <c r="G147" s="5">
        <v>299</v>
      </c>
      <c r="H147" s="3" t="s">
        <v>12</v>
      </c>
    </row>
    <row r="148" spans="1:8" x14ac:dyDescent="0.3">
      <c r="A148" s="2">
        <v>46032</v>
      </c>
      <c r="B148" s="1" t="s">
        <v>34</v>
      </c>
      <c r="C148" s="1" t="s">
        <v>8</v>
      </c>
      <c r="D148" s="1" t="s">
        <v>9</v>
      </c>
      <c r="E148" s="1" t="s">
        <v>10</v>
      </c>
      <c r="F148" s="1" t="s">
        <v>190</v>
      </c>
      <c r="G148" s="5">
        <v>1343.02</v>
      </c>
      <c r="H148" s="3" t="s">
        <v>12</v>
      </c>
    </row>
    <row r="149" spans="1:8" x14ac:dyDescent="0.3">
      <c r="A149" s="2">
        <v>46032</v>
      </c>
      <c r="B149" s="1" t="s">
        <v>34</v>
      </c>
      <c r="C149" s="1" t="s">
        <v>8</v>
      </c>
      <c r="D149" s="1" t="s">
        <v>9</v>
      </c>
      <c r="E149" s="1" t="s">
        <v>10</v>
      </c>
      <c r="F149" s="1" t="s">
        <v>191</v>
      </c>
      <c r="G149" s="5">
        <v>300</v>
      </c>
      <c r="H149" s="3" t="s">
        <v>12</v>
      </c>
    </row>
    <row r="150" spans="1:8" x14ac:dyDescent="0.3">
      <c r="A150" s="2">
        <v>46031</v>
      </c>
      <c r="B150" s="1" t="s">
        <v>25</v>
      </c>
      <c r="C150" s="1" t="s">
        <v>20</v>
      </c>
      <c r="D150" s="1" t="s">
        <v>9</v>
      </c>
      <c r="E150" s="1" t="s">
        <v>26</v>
      </c>
      <c r="F150" s="1" t="s">
        <v>192</v>
      </c>
      <c r="G150" s="5">
        <v>157303.54999999999</v>
      </c>
      <c r="H150" s="3" t="s">
        <v>12</v>
      </c>
    </row>
    <row r="151" spans="1:8" x14ac:dyDescent="0.3">
      <c r="A151" s="2">
        <v>46031</v>
      </c>
      <c r="B151" s="1" t="s">
        <v>25</v>
      </c>
      <c r="C151" s="1" t="s">
        <v>20</v>
      </c>
      <c r="D151" s="1" t="s">
        <v>9</v>
      </c>
      <c r="E151" s="1" t="s">
        <v>28</v>
      </c>
      <c r="F151" s="1" t="s">
        <v>192</v>
      </c>
      <c r="G151" s="5">
        <v>14054.48</v>
      </c>
      <c r="H151" s="3" t="s">
        <v>12</v>
      </c>
    </row>
    <row r="152" spans="1:8" x14ac:dyDescent="0.3">
      <c r="A152" s="2">
        <v>46031</v>
      </c>
      <c r="B152" s="1" t="s">
        <v>17</v>
      </c>
      <c r="C152" s="1" t="s">
        <v>20</v>
      </c>
      <c r="D152" s="1" t="s">
        <v>9</v>
      </c>
      <c r="E152" s="1" t="s">
        <v>10</v>
      </c>
      <c r="F152" s="1" t="s">
        <v>193</v>
      </c>
      <c r="G152" s="5">
        <v>316.10000000000002</v>
      </c>
      <c r="H152" s="3" t="s">
        <v>12</v>
      </c>
    </row>
    <row r="153" spans="1:8" x14ac:dyDescent="0.3">
      <c r="A153" s="2">
        <v>46031</v>
      </c>
      <c r="B153" s="1" t="s">
        <v>34</v>
      </c>
      <c r="C153" s="1" t="s">
        <v>8</v>
      </c>
      <c r="D153" s="1" t="s">
        <v>9</v>
      </c>
      <c r="E153" s="1" t="s">
        <v>10</v>
      </c>
      <c r="F153" s="1" t="s">
        <v>194</v>
      </c>
      <c r="G153" s="5">
        <v>800</v>
      </c>
      <c r="H153" s="3" t="s">
        <v>12</v>
      </c>
    </row>
    <row r="154" spans="1:8" x14ac:dyDescent="0.3">
      <c r="A154" s="2">
        <v>46031</v>
      </c>
      <c r="B154" s="1" t="s">
        <v>34</v>
      </c>
      <c r="C154" s="1" t="s">
        <v>8</v>
      </c>
      <c r="D154" s="1" t="s">
        <v>9</v>
      </c>
      <c r="E154" s="1" t="s">
        <v>10</v>
      </c>
      <c r="F154" s="1" t="s">
        <v>195</v>
      </c>
      <c r="G154" s="5">
        <v>570.36</v>
      </c>
      <c r="H154" s="3" t="s">
        <v>12</v>
      </c>
    </row>
    <row r="155" spans="1:8" x14ac:dyDescent="0.3">
      <c r="A155" s="2">
        <v>46031</v>
      </c>
      <c r="B155" s="1" t="s">
        <v>29</v>
      </c>
      <c r="C155" s="1" t="s">
        <v>8</v>
      </c>
      <c r="D155" s="1" t="s">
        <v>9</v>
      </c>
      <c r="E155" s="1" t="s">
        <v>10</v>
      </c>
      <c r="F155" s="1" t="s">
        <v>196</v>
      </c>
      <c r="G155" s="5">
        <v>955</v>
      </c>
      <c r="H155" s="3" t="s">
        <v>12</v>
      </c>
    </row>
    <row r="156" spans="1:8" x14ac:dyDescent="0.3">
      <c r="A156" s="2">
        <v>46030</v>
      </c>
      <c r="B156" s="1" t="s">
        <v>34</v>
      </c>
      <c r="C156" s="1" t="s">
        <v>8</v>
      </c>
      <c r="D156" s="1" t="s">
        <v>9</v>
      </c>
      <c r="E156" s="1" t="s">
        <v>10</v>
      </c>
      <c r="F156" s="1" t="s">
        <v>197</v>
      </c>
      <c r="G156" s="5">
        <v>623.51</v>
      </c>
      <c r="H156" s="3" t="s">
        <v>12</v>
      </c>
    </row>
    <row r="157" spans="1:8" x14ac:dyDescent="0.3">
      <c r="A157" s="2">
        <v>46030</v>
      </c>
      <c r="B157" s="1" t="s">
        <v>34</v>
      </c>
      <c r="C157" s="1" t="s">
        <v>8</v>
      </c>
      <c r="D157" s="1" t="s">
        <v>9</v>
      </c>
      <c r="E157" s="1" t="s">
        <v>10</v>
      </c>
      <c r="F157" s="1" t="s">
        <v>198</v>
      </c>
      <c r="G157" s="5">
        <v>745.11</v>
      </c>
      <c r="H157" s="3" t="s">
        <v>12</v>
      </c>
    </row>
    <row r="158" spans="1:8" x14ac:dyDescent="0.3">
      <c r="A158" s="2">
        <v>46030</v>
      </c>
      <c r="B158" s="1" t="s">
        <v>34</v>
      </c>
      <c r="C158" s="1" t="s">
        <v>8</v>
      </c>
      <c r="D158" s="1" t="s">
        <v>9</v>
      </c>
      <c r="E158" s="1" t="s">
        <v>10</v>
      </c>
      <c r="F158" s="1" t="s">
        <v>199</v>
      </c>
      <c r="G158" s="5">
        <v>2025.32</v>
      </c>
      <c r="H158" s="3" t="s">
        <v>12</v>
      </c>
    </row>
    <row r="159" spans="1:8" x14ac:dyDescent="0.3">
      <c r="A159" s="2">
        <v>46030</v>
      </c>
      <c r="B159" s="1" t="s">
        <v>163</v>
      </c>
      <c r="C159" s="1" t="s">
        <v>8</v>
      </c>
      <c r="D159" s="1" t="s">
        <v>9</v>
      </c>
      <c r="E159" s="1" t="s">
        <v>10</v>
      </c>
      <c r="F159" s="1" t="s">
        <v>200</v>
      </c>
      <c r="G159" s="5">
        <v>292.5</v>
      </c>
      <c r="H159" s="3" t="s">
        <v>12</v>
      </c>
    </row>
    <row r="160" spans="1:8" x14ac:dyDescent="0.3">
      <c r="A160" s="2">
        <v>46030</v>
      </c>
      <c r="B160" s="1" t="s">
        <v>163</v>
      </c>
      <c r="C160" s="1" t="s">
        <v>8</v>
      </c>
      <c r="D160" s="1" t="s">
        <v>9</v>
      </c>
      <c r="E160" s="1" t="s">
        <v>10</v>
      </c>
      <c r="F160" s="1" t="s">
        <v>201</v>
      </c>
      <c r="G160" s="5">
        <v>960.05</v>
      </c>
      <c r="H160" s="3" t="s">
        <v>12</v>
      </c>
    </row>
    <row r="161" spans="1:8" x14ac:dyDescent="0.3">
      <c r="A161" s="2">
        <v>46029</v>
      </c>
      <c r="B161" s="1" t="s">
        <v>34</v>
      </c>
      <c r="C161" s="1" t="s">
        <v>8</v>
      </c>
      <c r="D161" s="1" t="s">
        <v>9</v>
      </c>
      <c r="E161" s="1" t="s">
        <v>10</v>
      </c>
      <c r="F161" s="1" t="s">
        <v>202</v>
      </c>
      <c r="G161" s="5">
        <v>1004.28</v>
      </c>
      <c r="H161" s="3" t="s">
        <v>12</v>
      </c>
    </row>
    <row r="162" spans="1:8" x14ac:dyDescent="0.3">
      <c r="A162" s="2">
        <v>46029</v>
      </c>
      <c r="B162" s="1" t="s">
        <v>7</v>
      </c>
      <c r="C162" s="1" t="s">
        <v>8</v>
      </c>
      <c r="D162" s="1" t="s">
        <v>9</v>
      </c>
      <c r="E162" s="1" t="s">
        <v>10</v>
      </c>
      <c r="F162" s="1" t="s">
        <v>203</v>
      </c>
      <c r="G162" s="5">
        <v>1635</v>
      </c>
      <c r="H162" s="3" t="s">
        <v>12</v>
      </c>
    </row>
    <row r="163" spans="1:8" x14ac:dyDescent="0.3">
      <c r="A163" s="2">
        <v>46029</v>
      </c>
      <c r="B163" s="1" t="s">
        <v>163</v>
      </c>
      <c r="C163" s="1" t="s">
        <v>8</v>
      </c>
      <c r="D163" s="1" t="s">
        <v>9</v>
      </c>
      <c r="E163" s="1" t="s">
        <v>10</v>
      </c>
      <c r="F163" s="1" t="s">
        <v>204</v>
      </c>
      <c r="G163" s="5">
        <v>408</v>
      </c>
      <c r="H163" s="3" t="s">
        <v>12</v>
      </c>
    </row>
    <row r="164" spans="1:8" x14ac:dyDescent="0.3">
      <c r="A164" s="2">
        <v>46029</v>
      </c>
      <c r="B164" s="1" t="s">
        <v>13</v>
      </c>
      <c r="C164" s="1" t="s">
        <v>8</v>
      </c>
      <c r="D164" s="1" t="s">
        <v>9</v>
      </c>
      <c r="E164" s="1" t="s">
        <v>10</v>
      </c>
      <c r="F164" s="1" t="s">
        <v>205</v>
      </c>
      <c r="G164" s="5">
        <v>998</v>
      </c>
      <c r="H164" s="3" t="s">
        <v>12</v>
      </c>
    </row>
    <row r="165" spans="1:8" x14ac:dyDescent="0.3">
      <c r="A165" s="2">
        <v>46028</v>
      </c>
      <c r="B165" s="1" t="s">
        <v>50</v>
      </c>
      <c r="C165" s="1" t="s">
        <v>30</v>
      </c>
      <c r="D165" s="1" t="s">
        <v>23</v>
      </c>
      <c r="E165" s="1" t="s">
        <v>10</v>
      </c>
      <c r="F165" s="1" t="s">
        <v>206</v>
      </c>
      <c r="G165" s="5">
        <v>80</v>
      </c>
      <c r="H165" s="3" t="s">
        <v>12</v>
      </c>
    </row>
    <row r="166" spans="1:8" x14ac:dyDescent="0.3">
      <c r="A166" s="2">
        <v>46028</v>
      </c>
      <c r="B166" s="1" t="s">
        <v>34</v>
      </c>
      <c r="C166" s="1" t="s">
        <v>20</v>
      </c>
      <c r="D166" s="1" t="s">
        <v>9</v>
      </c>
      <c r="E166" s="1" t="s">
        <v>10</v>
      </c>
      <c r="F166" s="1" t="s">
        <v>207</v>
      </c>
      <c r="G166" s="5">
        <v>710.06</v>
      </c>
      <c r="H166" s="3" t="s">
        <v>12</v>
      </c>
    </row>
    <row r="167" spans="1:8" x14ac:dyDescent="0.3">
      <c r="A167" s="2">
        <v>46028</v>
      </c>
      <c r="B167" s="1" t="s">
        <v>34</v>
      </c>
      <c r="C167" s="1" t="s">
        <v>8</v>
      </c>
      <c r="D167" s="1" t="s">
        <v>9</v>
      </c>
      <c r="E167" s="1" t="s">
        <v>10</v>
      </c>
      <c r="F167" s="1" t="s">
        <v>208</v>
      </c>
      <c r="G167" s="5">
        <v>743.11</v>
      </c>
      <c r="H167" s="3" t="s">
        <v>12</v>
      </c>
    </row>
    <row r="168" spans="1:8" x14ac:dyDescent="0.3">
      <c r="A168" s="2">
        <v>46028</v>
      </c>
      <c r="B168" s="1" t="s">
        <v>34</v>
      </c>
      <c r="C168" s="1" t="s">
        <v>8</v>
      </c>
      <c r="D168" s="1" t="s">
        <v>9</v>
      </c>
      <c r="E168" s="1" t="s">
        <v>10</v>
      </c>
      <c r="F168" s="1" t="s">
        <v>209</v>
      </c>
      <c r="G168" s="5">
        <v>487.16</v>
      </c>
      <c r="H168" s="3" t="s">
        <v>12</v>
      </c>
    </row>
    <row r="169" spans="1:8" x14ac:dyDescent="0.3">
      <c r="A169" s="2">
        <v>46028</v>
      </c>
      <c r="B169" s="1" t="s">
        <v>34</v>
      </c>
      <c r="C169" s="1" t="s">
        <v>8</v>
      </c>
      <c r="D169" s="1" t="s">
        <v>9</v>
      </c>
      <c r="E169" s="1" t="s">
        <v>10</v>
      </c>
      <c r="F169" s="1" t="s">
        <v>210</v>
      </c>
      <c r="G169" s="5">
        <v>925.08</v>
      </c>
      <c r="H169" s="3" t="s">
        <v>12</v>
      </c>
    </row>
    <row r="170" spans="1:8" x14ac:dyDescent="0.3">
      <c r="A170" s="2">
        <v>46028</v>
      </c>
      <c r="B170" s="1" t="s">
        <v>34</v>
      </c>
      <c r="C170" s="1" t="s">
        <v>8</v>
      </c>
      <c r="D170" s="1" t="s">
        <v>9</v>
      </c>
      <c r="E170" s="1" t="s">
        <v>10</v>
      </c>
      <c r="F170" s="1" t="s">
        <v>211</v>
      </c>
      <c r="G170" s="5">
        <v>1240.0899999999999</v>
      </c>
      <c r="H170" s="3" t="s">
        <v>12</v>
      </c>
    </row>
    <row r="171" spans="1:8" x14ac:dyDescent="0.3">
      <c r="A171" s="2">
        <v>46028</v>
      </c>
      <c r="B171" s="1" t="s">
        <v>29</v>
      </c>
      <c r="C171" s="1" t="s">
        <v>20</v>
      </c>
      <c r="D171" s="1" t="s">
        <v>9</v>
      </c>
      <c r="E171" s="1" t="s">
        <v>10</v>
      </c>
      <c r="F171" s="1" t="s">
        <v>212</v>
      </c>
      <c r="G171" s="5">
        <v>3012</v>
      </c>
      <c r="H171" s="3" t="s">
        <v>12</v>
      </c>
    </row>
    <row r="172" spans="1:8" x14ac:dyDescent="0.3">
      <c r="A172" s="2">
        <v>46028</v>
      </c>
      <c r="B172" s="1" t="s">
        <v>25</v>
      </c>
      <c r="C172" s="1" t="s">
        <v>43</v>
      </c>
      <c r="D172" s="1" t="s">
        <v>23</v>
      </c>
      <c r="E172" s="1" t="s">
        <v>26</v>
      </c>
      <c r="F172" s="1" t="s">
        <v>213</v>
      </c>
      <c r="G172" s="5">
        <v>12576.43</v>
      </c>
      <c r="H172" s="3" t="s">
        <v>12</v>
      </c>
    </row>
    <row r="173" spans="1:8" x14ac:dyDescent="0.3">
      <c r="A173" s="2">
        <v>46028</v>
      </c>
      <c r="B173" s="1" t="s">
        <v>25</v>
      </c>
      <c r="C173" s="1" t="s">
        <v>30</v>
      </c>
      <c r="D173" s="1" t="s">
        <v>9</v>
      </c>
      <c r="E173" s="1" t="s">
        <v>26</v>
      </c>
      <c r="F173" s="1" t="s">
        <v>214</v>
      </c>
      <c r="G173" s="5">
        <v>25000</v>
      </c>
      <c r="H173" s="3" t="s">
        <v>12</v>
      </c>
    </row>
    <row r="174" spans="1:8" x14ac:dyDescent="0.3">
      <c r="A174" s="2">
        <v>46028</v>
      </c>
      <c r="B174" s="1" t="s">
        <v>45</v>
      </c>
      <c r="C174" s="1" t="s">
        <v>20</v>
      </c>
      <c r="D174" s="1" t="s">
        <v>9</v>
      </c>
      <c r="E174" s="1" t="s">
        <v>10</v>
      </c>
      <c r="F174" s="1" t="s">
        <v>46</v>
      </c>
      <c r="G174" s="5">
        <v>6727.19</v>
      </c>
      <c r="H174" s="3" t="s">
        <v>12</v>
      </c>
    </row>
    <row r="175" spans="1:8" x14ac:dyDescent="0.3">
      <c r="A175" s="2">
        <v>46027</v>
      </c>
      <c r="B175" s="1" t="s">
        <v>55</v>
      </c>
      <c r="C175" s="1" t="s">
        <v>20</v>
      </c>
      <c r="D175" s="1" t="s">
        <v>9</v>
      </c>
      <c r="E175" s="1" t="s">
        <v>215</v>
      </c>
      <c r="F175" s="1" t="s">
        <v>216</v>
      </c>
      <c r="G175" s="5">
        <v>4280.3999999999996</v>
      </c>
      <c r="H175" s="3" t="s">
        <v>12</v>
      </c>
    </row>
    <row r="176" spans="1:8" x14ac:dyDescent="0.3">
      <c r="A176" s="2">
        <v>46027</v>
      </c>
      <c r="B176" s="1" t="s">
        <v>79</v>
      </c>
      <c r="C176" s="1" t="s">
        <v>20</v>
      </c>
      <c r="D176" s="1" t="s">
        <v>9</v>
      </c>
      <c r="E176" s="1" t="s">
        <v>79</v>
      </c>
      <c r="F176" s="1" t="s">
        <v>217</v>
      </c>
      <c r="G176" s="5">
        <v>8679.23</v>
      </c>
      <c r="H176" s="3" t="s">
        <v>12</v>
      </c>
    </row>
    <row r="177" spans="1:8" x14ac:dyDescent="0.3">
      <c r="A177" s="2">
        <v>46027</v>
      </c>
      <c r="B177" s="1" t="s">
        <v>218</v>
      </c>
      <c r="C177" s="1" t="s">
        <v>8</v>
      </c>
      <c r="D177" s="1" t="s">
        <v>9</v>
      </c>
      <c r="E177" s="1" t="s">
        <v>28</v>
      </c>
      <c r="F177" s="1" t="s">
        <v>219</v>
      </c>
      <c r="G177" s="5">
        <v>1403.17</v>
      </c>
      <c r="H177" s="3" t="s">
        <v>12</v>
      </c>
    </row>
    <row r="178" spans="1:8" x14ac:dyDescent="0.3">
      <c r="A178" s="2">
        <v>46027</v>
      </c>
      <c r="B178" s="1" t="s">
        <v>163</v>
      </c>
      <c r="C178" s="1" t="s">
        <v>8</v>
      </c>
      <c r="D178" s="1" t="s">
        <v>9</v>
      </c>
      <c r="E178" s="1" t="s">
        <v>10</v>
      </c>
      <c r="F178" s="1" t="s">
        <v>220</v>
      </c>
      <c r="G178" s="5">
        <v>89</v>
      </c>
      <c r="H178" s="3" t="s">
        <v>12</v>
      </c>
    </row>
    <row r="179" spans="1:8" x14ac:dyDescent="0.3">
      <c r="A179" s="2">
        <v>46027</v>
      </c>
      <c r="B179" s="1" t="s">
        <v>34</v>
      </c>
      <c r="C179" s="1" t="s">
        <v>8</v>
      </c>
      <c r="D179" s="1" t="s">
        <v>9</v>
      </c>
      <c r="E179" s="1" t="s">
        <v>10</v>
      </c>
      <c r="F179" s="1" t="s">
        <v>221</v>
      </c>
      <c r="G179" s="5">
        <v>1600.26</v>
      </c>
      <c r="H179" s="3" t="s">
        <v>12</v>
      </c>
    </row>
    <row r="180" spans="1:8" x14ac:dyDescent="0.3">
      <c r="A180" s="2">
        <v>46027</v>
      </c>
      <c r="B180" s="1" t="s">
        <v>163</v>
      </c>
      <c r="C180" s="1" t="s">
        <v>8</v>
      </c>
      <c r="D180" s="1" t="s">
        <v>9</v>
      </c>
      <c r="E180" s="1" t="s">
        <v>28</v>
      </c>
      <c r="F180" s="1" t="s">
        <v>222</v>
      </c>
      <c r="G180" s="5">
        <v>815.7</v>
      </c>
      <c r="H180" s="3" t="s">
        <v>12</v>
      </c>
    </row>
    <row r="181" spans="1:8" x14ac:dyDescent="0.3">
      <c r="A181" s="2">
        <v>46027</v>
      </c>
      <c r="B181" s="1" t="s">
        <v>163</v>
      </c>
      <c r="C181" s="1" t="s">
        <v>8</v>
      </c>
      <c r="D181" s="1" t="s">
        <v>9</v>
      </c>
      <c r="E181" s="1" t="s">
        <v>10</v>
      </c>
      <c r="F181" s="1" t="s">
        <v>222</v>
      </c>
      <c r="G181" s="5">
        <v>948.3</v>
      </c>
      <c r="H181" s="3" t="s">
        <v>12</v>
      </c>
    </row>
    <row r="182" spans="1:8" x14ac:dyDescent="0.3">
      <c r="A182" s="2">
        <v>46025</v>
      </c>
      <c r="B182" s="1" t="s">
        <v>55</v>
      </c>
      <c r="C182" s="1" t="s">
        <v>30</v>
      </c>
      <c r="D182" s="1" t="s">
        <v>9</v>
      </c>
      <c r="E182" s="1" t="s">
        <v>10</v>
      </c>
      <c r="F182" s="1" t="s">
        <v>223</v>
      </c>
      <c r="G182" s="5">
        <v>589</v>
      </c>
      <c r="H182" s="3" t="s">
        <v>12</v>
      </c>
    </row>
    <row r="183" spans="1:8" x14ac:dyDescent="0.3">
      <c r="A183" s="2">
        <v>46025</v>
      </c>
      <c r="B183" s="1" t="s">
        <v>45</v>
      </c>
      <c r="C183" s="1" t="s">
        <v>20</v>
      </c>
      <c r="D183" s="1" t="s">
        <v>9</v>
      </c>
      <c r="E183" s="1" t="s">
        <v>10</v>
      </c>
      <c r="F183" s="1" t="s">
        <v>224</v>
      </c>
      <c r="G183" s="5">
        <v>2708.97</v>
      </c>
      <c r="H183" s="3" t="s">
        <v>12</v>
      </c>
    </row>
    <row r="184" spans="1:8" x14ac:dyDescent="0.3">
      <c r="A184" s="2">
        <v>46024</v>
      </c>
      <c r="B184" s="1" t="s">
        <v>25</v>
      </c>
      <c r="C184" s="1" t="s">
        <v>20</v>
      </c>
      <c r="D184" s="1" t="s">
        <v>23</v>
      </c>
      <c r="E184" s="1" t="s">
        <v>28</v>
      </c>
      <c r="F184" s="1" t="s">
        <v>225</v>
      </c>
      <c r="G184" s="5">
        <v>10732.71</v>
      </c>
      <c r="H184" s="3" t="s">
        <v>12</v>
      </c>
    </row>
    <row r="185" spans="1:8" x14ac:dyDescent="0.3">
      <c r="A185" s="2">
        <v>46024</v>
      </c>
      <c r="B185" s="1" t="s">
        <v>25</v>
      </c>
      <c r="C185" s="1" t="s">
        <v>20</v>
      </c>
      <c r="D185" s="1" t="s">
        <v>9</v>
      </c>
      <c r="E185" s="1" t="s">
        <v>26</v>
      </c>
      <c r="F185" s="1" t="s">
        <v>225</v>
      </c>
      <c r="G185" s="5">
        <v>164609.94</v>
      </c>
      <c r="H185" s="3" t="s">
        <v>12</v>
      </c>
    </row>
    <row r="186" spans="1:8" x14ac:dyDescent="0.3">
      <c r="A186" s="2">
        <v>46024</v>
      </c>
      <c r="B186" s="1" t="s">
        <v>226</v>
      </c>
      <c r="C186" s="1" t="s">
        <v>20</v>
      </c>
      <c r="D186" s="1" t="s">
        <v>9</v>
      </c>
      <c r="E186" s="1" t="s">
        <v>10</v>
      </c>
      <c r="F186" s="1" t="s">
        <v>227</v>
      </c>
      <c r="G186" s="5">
        <v>1294.3900000000001</v>
      </c>
      <c r="H186" s="3" t="s">
        <v>12</v>
      </c>
    </row>
    <row r="187" spans="1:8" x14ac:dyDescent="0.3">
      <c r="A187" s="2">
        <v>46024</v>
      </c>
      <c r="B187" s="1" t="s">
        <v>226</v>
      </c>
      <c r="C187" s="1" t="s">
        <v>20</v>
      </c>
      <c r="D187" s="1" t="s">
        <v>9</v>
      </c>
      <c r="E187" s="1" t="s">
        <v>10</v>
      </c>
      <c r="F187" s="1" t="s">
        <v>228</v>
      </c>
      <c r="G187" s="5">
        <v>10688.44</v>
      </c>
      <c r="H187" s="3" t="s">
        <v>12</v>
      </c>
    </row>
    <row r="188" spans="1:8" x14ac:dyDescent="0.3">
      <c r="A188" s="2">
        <v>46024</v>
      </c>
      <c r="B188" s="1" t="s">
        <v>226</v>
      </c>
      <c r="C188" s="1" t="s">
        <v>20</v>
      </c>
      <c r="D188" s="1" t="s">
        <v>9</v>
      </c>
      <c r="E188" s="1" t="s">
        <v>10</v>
      </c>
      <c r="F188" s="1" t="s">
        <v>229</v>
      </c>
      <c r="G188" s="5">
        <v>25889.56</v>
      </c>
      <c r="H188" s="3" t="s">
        <v>12</v>
      </c>
    </row>
    <row r="189" spans="1:8" x14ac:dyDescent="0.3">
      <c r="A189" s="2">
        <v>46024</v>
      </c>
      <c r="B189" s="1" t="s">
        <v>226</v>
      </c>
      <c r="C189" s="1" t="s">
        <v>20</v>
      </c>
      <c r="D189" s="1" t="s">
        <v>23</v>
      </c>
      <c r="E189" s="1" t="s">
        <v>10</v>
      </c>
      <c r="F189" s="1" t="s">
        <v>230</v>
      </c>
      <c r="G189" s="5">
        <v>48463.1</v>
      </c>
      <c r="H189" s="3" t="s">
        <v>12</v>
      </c>
    </row>
    <row r="190" spans="1:8" x14ac:dyDescent="0.3">
      <c r="A190" s="2">
        <v>46024</v>
      </c>
      <c r="B190" s="1" t="s">
        <v>17</v>
      </c>
      <c r="C190" s="1" t="s">
        <v>20</v>
      </c>
      <c r="D190" s="1" t="s">
        <v>9</v>
      </c>
      <c r="E190" s="1" t="s">
        <v>10</v>
      </c>
      <c r="F190" s="1" t="s">
        <v>231</v>
      </c>
      <c r="G190" s="5">
        <v>329.85</v>
      </c>
      <c r="H190" s="3" t="s">
        <v>12</v>
      </c>
    </row>
    <row r="191" spans="1:8" x14ac:dyDescent="0.3">
      <c r="A191" s="2">
        <v>46024</v>
      </c>
      <c r="B191" s="1" t="s">
        <v>226</v>
      </c>
      <c r="C191" s="1" t="s">
        <v>20</v>
      </c>
      <c r="D191" s="1" t="s">
        <v>9</v>
      </c>
      <c r="E191" s="1" t="s">
        <v>10</v>
      </c>
      <c r="F191" s="1" t="s">
        <v>232</v>
      </c>
      <c r="G191" s="5">
        <v>3132.25</v>
      </c>
      <c r="H191" s="3" t="s">
        <v>12</v>
      </c>
    </row>
    <row r="192" spans="1:8" x14ac:dyDescent="0.3">
      <c r="A192" s="2">
        <v>46024</v>
      </c>
      <c r="B192" s="1" t="s">
        <v>226</v>
      </c>
      <c r="C192" s="1" t="s">
        <v>20</v>
      </c>
      <c r="D192" s="1" t="s">
        <v>9</v>
      </c>
      <c r="E192" s="1" t="s">
        <v>10</v>
      </c>
      <c r="F192" s="1" t="s">
        <v>233</v>
      </c>
      <c r="G192" s="5">
        <v>12135.02</v>
      </c>
      <c r="H192" s="3" t="s">
        <v>12</v>
      </c>
    </row>
    <row r="193" spans="1:8" x14ac:dyDescent="0.3">
      <c r="A193" s="2">
        <v>46023</v>
      </c>
      <c r="B193" s="1" t="s">
        <v>169</v>
      </c>
      <c r="C193" s="1" t="s">
        <v>20</v>
      </c>
      <c r="D193" s="1" t="s">
        <v>9</v>
      </c>
      <c r="E193" s="1" t="s">
        <v>10</v>
      </c>
      <c r="F193" s="1" t="s">
        <v>234</v>
      </c>
      <c r="G193" s="5">
        <v>9047.75</v>
      </c>
      <c r="H193" s="3" t="s">
        <v>12</v>
      </c>
    </row>
    <row r="194" spans="1:8" x14ac:dyDescent="0.3">
      <c r="A194" s="2">
        <v>46023</v>
      </c>
      <c r="B194" s="1" t="s">
        <v>163</v>
      </c>
      <c r="C194" s="1" t="s">
        <v>20</v>
      </c>
      <c r="D194" s="1" t="s">
        <v>9</v>
      </c>
      <c r="E194" s="1" t="s">
        <v>10</v>
      </c>
      <c r="F194" s="1" t="s">
        <v>235</v>
      </c>
      <c r="G194" s="5">
        <v>4070.8</v>
      </c>
      <c r="H194" s="3" t="s">
        <v>12</v>
      </c>
    </row>
    <row r="195" spans="1:8" x14ac:dyDescent="0.3">
      <c r="A195" s="2">
        <v>46023</v>
      </c>
      <c r="B195" s="1" t="s">
        <v>45</v>
      </c>
      <c r="C195" s="1" t="s">
        <v>20</v>
      </c>
      <c r="D195" s="1" t="s">
        <v>9</v>
      </c>
      <c r="E195" s="1" t="s">
        <v>10</v>
      </c>
      <c r="F195" s="1" t="s">
        <v>236</v>
      </c>
      <c r="G195" s="5">
        <v>1625.61</v>
      </c>
      <c r="H195" s="3" t="s">
        <v>12</v>
      </c>
    </row>
    <row r="196" spans="1:8" x14ac:dyDescent="0.3">
      <c r="A196" s="2">
        <v>46023</v>
      </c>
      <c r="B196" s="1" t="s">
        <v>19</v>
      </c>
      <c r="C196" s="1" t="s">
        <v>20</v>
      </c>
      <c r="D196" s="1" t="s">
        <v>9</v>
      </c>
      <c r="E196" s="1" t="s">
        <v>10</v>
      </c>
      <c r="F196" s="1" t="s">
        <v>237</v>
      </c>
      <c r="G196" s="5">
        <v>6934.12</v>
      </c>
      <c r="H196" s="3" t="s">
        <v>12</v>
      </c>
    </row>
    <row r="197" spans="1:8" x14ac:dyDescent="0.3">
      <c r="G197" s="8">
        <f>SUM(G2:G196)</f>
        <v>1660050.3300000003</v>
      </c>
    </row>
  </sheetData>
  <autoFilter ref="A1:H197" xr:uid="{D89A8F99-600B-44FD-8F6E-A02F038B9A5B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7527D-9004-48F4-B701-DAE352BB273A}">
  <dimension ref="A1:H189"/>
  <sheetViews>
    <sheetView workbookViewId="0">
      <selection activeCell="B17" sqref="B17"/>
    </sheetView>
  </sheetViews>
  <sheetFormatPr baseColWidth="10" defaultRowHeight="14.4" x14ac:dyDescent="0.3"/>
  <cols>
    <col min="2" max="2" width="28.5546875" customWidth="1"/>
    <col min="3" max="3" width="20.5546875" customWidth="1"/>
    <col min="4" max="4" width="18.21875" customWidth="1"/>
    <col min="5" max="5" width="18" customWidth="1"/>
    <col min="6" max="6" width="41.21875" customWidth="1"/>
    <col min="7" max="7" width="14" bestFit="1" customWidth="1"/>
    <col min="8" max="8" width="11.5546875" style="4"/>
  </cols>
  <sheetData>
    <row r="1" spans="1:8" ht="25.8" customHeight="1" x14ac:dyDescent="0.3">
      <c r="A1" s="6" t="s">
        <v>0</v>
      </c>
      <c r="B1" s="6" t="s">
        <v>1</v>
      </c>
      <c r="C1" s="6" t="s">
        <v>2</v>
      </c>
      <c r="D1" s="6" t="s">
        <v>238</v>
      </c>
      <c r="E1" s="6" t="s">
        <v>3</v>
      </c>
      <c r="F1" s="6" t="s">
        <v>4</v>
      </c>
      <c r="G1" s="6" t="s">
        <v>5</v>
      </c>
      <c r="H1" s="6" t="s">
        <v>6</v>
      </c>
    </row>
    <row r="2" spans="1:8" x14ac:dyDescent="0.3">
      <c r="A2" s="2">
        <v>46081</v>
      </c>
      <c r="B2" s="1" t="s">
        <v>15</v>
      </c>
      <c r="C2" s="1" t="s">
        <v>262</v>
      </c>
      <c r="D2" s="1" t="s">
        <v>23</v>
      </c>
      <c r="E2" s="1" t="s">
        <v>79</v>
      </c>
      <c r="F2" s="1" t="s">
        <v>263</v>
      </c>
      <c r="G2" s="5">
        <v>9579.44</v>
      </c>
      <c r="H2" s="3" t="s">
        <v>12</v>
      </c>
    </row>
    <row r="3" spans="1:8" x14ac:dyDescent="0.3">
      <c r="A3" s="2">
        <v>46080</v>
      </c>
      <c r="B3" s="1" t="s">
        <v>79</v>
      </c>
      <c r="C3" s="1" t="s">
        <v>30</v>
      </c>
      <c r="D3" s="1" t="s">
        <v>9</v>
      </c>
      <c r="E3" s="1" t="s">
        <v>264</v>
      </c>
      <c r="F3" s="1" t="s">
        <v>265</v>
      </c>
      <c r="G3" s="5">
        <v>700</v>
      </c>
      <c r="H3" s="3" t="s">
        <v>12</v>
      </c>
    </row>
    <row r="4" spans="1:8" x14ac:dyDescent="0.3">
      <c r="A4" s="2">
        <v>46080</v>
      </c>
      <c r="B4" s="1" t="s">
        <v>25</v>
      </c>
      <c r="C4" s="1" t="s">
        <v>20</v>
      </c>
      <c r="D4" s="1" t="s">
        <v>9</v>
      </c>
      <c r="E4" s="1" t="s">
        <v>26</v>
      </c>
      <c r="F4" s="1" t="s">
        <v>266</v>
      </c>
      <c r="G4" s="5">
        <v>154578.76999999999</v>
      </c>
      <c r="H4" s="3" t="s">
        <v>12</v>
      </c>
    </row>
    <row r="5" spans="1:8" x14ac:dyDescent="0.3">
      <c r="A5" s="2">
        <v>46080</v>
      </c>
      <c r="B5" s="1" t="s">
        <v>25</v>
      </c>
      <c r="C5" s="1" t="s">
        <v>20</v>
      </c>
      <c r="D5" s="1" t="s">
        <v>9</v>
      </c>
      <c r="E5" s="1" t="s">
        <v>28</v>
      </c>
      <c r="F5" s="1" t="s">
        <v>266</v>
      </c>
      <c r="G5" s="5">
        <v>10980.07</v>
      </c>
      <c r="H5" s="3" t="s">
        <v>12</v>
      </c>
    </row>
    <row r="6" spans="1:8" x14ac:dyDescent="0.3">
      <c r="A6" s="2">
        <v>46080</v>
      </c>
      <c r="B6" s="1" t="s">
        <v>17</v>
      </c>
      <c r="C6" s="1" t="s">
        <v>20</v>
      </c>
      <c r="D6" s="1" t="s">
        <v>9</v>
      </c>
      <c r="E6" s="1" t="s">
        <v>10</v>
      </c>
      <c r="F6" s="1" t="s">
        <v>267</v>
      </c>
      <c r="G6" s="5">
        <v>327.76</v>
      </c>
      <c r="H6" s="3" t="s">
        <v>12</v>
      </c>
    </row>
    <row r="7" spans="1:8" x14ac:dyDescent="0.3">
      <c r="A7" s="2">
        <v>46080</v>
      </c>
      <c r="B7" s="1" t="s">
        <v>15</v>
      </c>
      <c r="C7" s="1" t="s">
        <v>8</v>
      </c>
      <c r="D7" s="1" t="s">
        <v>9</v>
      </c>
      <c r="E7" s="1" t="s">
        <v>10</v>
      </c>
      <c r="F7" s="1" t="s">
        <v>268</v>
      </c>
      <c r="G7" s="5">
        <v>767.07</v>
      </c>
      <c r="H7" s="3" t="s">
        <v>12</v>
      </c>
    </row>
    <row r="8" spans="1:8" x14ac:dyDescent="0.3">
      <c r="A8" s="2">
        <v>46080</v>
      </c>
      <c r="B8" s="1" t="s">
        <v>34</v>
      </c>
      <c r="C8" s="1" t="s">
        <v>8</v>
      </c>
      <c r="D8" s="1" t="s">
        <v>9</v>
      </c>
      <c r="E8" s="1" t="s">
        <v>10</v>
      </c>
      <c r="F8" s="1" t="s">
        <v>269</v>
      </c>
      <c r="G8" s="5">
        <v>1211.25</v>
      </c>
      <c r="H8" s="3" t="s">
        <v>12</v>
      </c>
    </row>
    <row r="9" spans="1:8" x14ac:dyDescent="0.3">
      <c r="A9" s="2">
        <v>46080</v>
      </c>
      <c r="B9" s="1" t="s">
        <v>45</v>
      </c>
      <c r="C9" s="1" t="s">
        <v>43</v>
      </c>
      <c r="D9" s="1" t="s">
        <v>9</v>
      </c>
      <c r="E9" s="1" t="s">
        <v>10</v>
      </c>
      <c r="F9" s="1" t="s">
        <v>270</v>
      </c>
      <c r="G9" s="5">
        <v>27170.38</v>
      </c>
      <c r="H9" s="3" t="s">
        <v>12</v>
      </c>
    </row>
    <row r="10" spans="1:8" x14ac:dyDescent="0.3">
      <c r="A10" s="2">
        <v>46080</v>
      </c>
      <c r="B10" s="1" t="s">
        <v>53</v>
      </c>
      <c r="C10" s="1" t="s">
        <v>20</v>
      </c>
      <c r="D10" s="1" t="s">
        <v>9</v>
      </c>
      <c r="E10" s="1" t="s">
        <v>28</v>
      </c>
      <c r="F10" s="1" t="s">
        <v>271</v>
      </c>
      <c r="G10" s="5">
        <v>2333.38</v>
      </c>
      <c r="H10" s="3" t="s">
        <v>12</v>
      </c>
    </row>
    <row r="11" spans="1:8" x14ac:dyDescent="0.3">
      <c r="A11" s="2">
        <v>46080</v>
      </c>
      <c r="B11" s="1" t="s">
        <v>218</v>
      </c>
      <c r="C11" s="1" t="s">
        <v>30</v>
      </c>
      <c r="D11" s="1" t="s">
        <v>9</v>
      </c>
      <c r="E11" s="1" t="s">
        <v>28</v>
      </c>
      <c r="F11" s="1" t="s">
        <v>272</v>
      </c>
      <c r="G11" s="5">
        <v>66</v>
      </c>
      <c r="H11" s="3" t="s">
        <v>12</v>
      </c>
    </row>
    <row r="12" spans="1:8" x14ac:dyDescent="0.3">
      <c r="A12" s="2">
        <v>46080</v>
      </c>
      <c r="B12" s="1" t="s">
        <v>55</v>
      </c>
      <c r="C12" s="1" t="s">
        <v>30</v>
      </c>
      <c r="D12" s="1" t="s">
        <v>9</v>
      </c>
      <c r="E12" s="1" t="s">
        <v>28</v>
      </c>
      <c r="F12" s="1" t="s">
        <v>273</v>
      </c>
      <c r="G12" s="5">
        <v>4786</v>
      </c>
      <c r="H12" s="3" t="s">
        <v>12</v>
      </c>
    </row>
    <row r="13" spans="1:8" x14ac:dyDescent="0.3">
      <c r="A13" s="2">
        <v>46079</v>
      </c>
      <c r="B13" s="1" t="s">
        <v>17</v>
      </c>
      <c r="C13" s="1" t="s">
        <v>20</v>
      </c>
      <c r="D13" s="1" t="s">
        <v>9</v>
      </c>
      <c r="E13" s="1" t="s">
        <v>10</v>
      </c>
      <c r="F13" s="1" t="s">
        <v>274</v>
      </c>
      <c r="G13" s="5">
        <v>327.76</v>
      </c>
      <c r="H13" s="3" t="s">
        <v>12</v>
      </c>
    </row>
    <row r="14" spans="1:8" x14ac:dyDescent="0.3">
      <c r="A14" s="2">
        <v>46079</v>
      </c>
      <c r="B14" s="1" t="s">
        <v>34</v>
      </c>
      <c r="C14" s="1" t="s">
        <v>8</v>
      </c>
      <c r="D14" s="1" t="s">
        <v>9</v>
      </c>
      <c r="E14" s="1" t="s">
        <v>10</v>
      </c>
      <c r="F14" s="1" t="s">
        <v>275</v>
      </c>
      <c r="G14" s="5">
        <v>274.77999999999997</v>
      </c>
      <c r="H14" s="3" t="s">
        <v>12</v>
      </c>
    </row>
    <row r="15" spans="1:8" x14ac:dyDescent="0.3">
      <c r="A15" s="2">
        <v>46079</v>
      </c>
      <c r="B15" s="1" t="s">
        <v>34</v>
      </c>
      <c r="C15" s="1" t="s">
        <v>8</v>
      </c>
      <c r="D15" s="1" t="s">
        <v>9</v>
      </c>
      <c r="E15" s="1" t="s">
        <v>10</v>
      </c>
      <c r="F15" s="1" t="s">
        <v>276</v>
      </c>
      <c r="G15" s="5">
        <v>760.11</v>
      </c>
      <c r="H15" s="3" t="s">
        <v>12</v>
      </c>
    </row>
    <row r="16" spans="1:8" x14ac:dyDescent="0.3">
      <c r="A16" s="2">
        <v>46079</v>
      </c>
      <c r="B16" s="1" t="s">
        <v>7</v>
      </c>
      <c r="C16" s="1" t="s">
        <v>8</v>
      </c>
      <c r="D16" s="1" t="s">
        <v>9</v>
      </c>
      <c r="E16" s="1" t="s">
        <v>10</v>
      </c>
      <c r="F16" s="1" t="s">
        <v>277</v>
      </c>
      <c r="G16" s="5">
        <v>1150</v>
      </c>
      <c r="H16" s="3" t="s">
        <v>12</v>
      </c>
    </row>
    <row r="17" spans="1:8" x14ac:dyDescent="0.3">
      <c r="A17" s="2">
        <v>46079</v>
      </c>
      <c r="B17" s="1" t="s">
        <v>89</v>
      </c>
      <c r="C17" s="1" t="s">
        <v>8</v>
      </c>
      <c r="D17" s="1" t="s">
        <v>9</v>
      </c>
      <c r="E17" s="1" t="s">
        <v>10</v>
      </c>
      <c r="F17" s="1" t="s">
        <v>278</v>
      </c>
      <c r="G17" s="5">
        <v>322</v>
      </c>
      <c r="H17" s="3" t="s">
        <v>12</v>
      </c>
    </row>
    <row r="18" spans="1:8" x14ac:dyDescent="0.3">
      <c r="A18" s="2">
        <v>46079</v>
      </c>
      <c r="B18" s="1" t="s">
        <v>15</v>
      </c>
      <c r="C18" s="1" t="s">
        <v>8</v>
      </c>
      <c r="D18" s="1" t="s">
        <v>9</v>
      </c>
      <c r="E18" s="1" t="s">
        <v>10</v>
      </c>
      <c r="F18" s="1" t="s">
        <v>279</v>
      </c>
      <c r="G18" s="5">
        <v>228</v>
      </c>
      <c r="H18" s="3" t="s">
        <v>12</v>
      </c>
    </row>
    <row r="19" spans="1:8" x14ac:dyDescent="0.3">
      <c r="A19" s="2">
        <v>46079</v>
      </c>
      <c r="B19" s="1" t="s">
        <v>15</v>
      </c>
      <c r="C19" s="1" t="s">
        <v>8</v>
      </c>
      <c r="D19" s="1" t="s">
        <v>9</v>
      </c>
      <c r="E19" s="1" t="s">
        <v>10</v>
      </c>
      <c r="F19" s="1" t="s">
        <v>280</v>
      </c>
      <c r="G19" s="5">
        <v>228.96</v>
      </c>
      <c r="H19" s="3" t="s">
        <v>12</v>
      </c>
    </row>
    <row r="20" spans="1:8" x14ac:dyDescent="0.3">
      <c r="A20" s="2">
        <v>46079</v>
      </c>
      <c r="B20" s="1" t="s">
        <v>89</v>
      </c>
      <c r="C20" s="1" t="s">
        <v>8</v>
      </c>
      <c r="D20" s="1" t="s">
        <v>9</v>
      </c>
      <c r="E20" s="1" t="s">
        <v>10</v>
      </c>
      <c r="F20" s="1" t="s">
        <v>281</v>
      </c>
      <c r="G20" s="5">
        <v>3715.01</v>
      </c>
      <c r="H20" s="3" t="s">
        <v>12</v>
      </c>
    </row>
    <row r="21" spans="1:8" x14ac:dyDescent="0.3">
      <c r="A21" s="2">
        <v>46079</v>
      </c>
      <c r="B21" s="1" t="s">
        <v>15</v>
      </c>
      <c r="C21" s="1" t="s">
        <v>8</v>
      </c>
      <c r="D21" s="1" t="s">
        <v>9</v>
      </c>
      <c r="E21" s="1" t="s">
        <v>10</v>
      </c>
      <c r="F21" s="1" t="s">
        <v>282</v>
      </c>
      <c r="G21" s="5">
        <v>2923.2</v>
      </c>
      <c r="H21" s="3" t="s">
        <v>12</v>
      </c>
    </row>
    <row r="22" spans="1:8" x14ac:dyDescent="0.3">
      <c r="A22" s="2">
        <v>46079</v>
      </c>
      <c r="B22" s="1" t="s">
        <v>258</v>
      </c>
      <c r="C22" s="1" t="s">
        <v>8</v>
      </c>
      <c r="D22" s="1" t="s">
        <v>9</v>
      </c>
      <c r="E22" s="1" t="s">
        <v>28</v>
      </c>
      <c r="F22" s="1" t="s">
        <v>283</v>
      </c>
      <c r="G22" s="5">
        <v>378</v>
      </c>
      <c r="H22" s="3" t="s">
        <v>12</v>
      </c>
    </row>
    <row r="23" spans="1:8" x14ac:dyDescent="0.3">
      <c r="A23" s="2">
        <v>46078</v>
      </c>
      <c r="B23" s="1" t="s">
        <v>15</v>
      </c>
      <c r="C23" s="1" t="s">
        <v>8</v>
      </c>
      <c r="D23" s="1" t="s">
        <v>9</v>
      </c>
      <c r="E23" s="1" t="s">
        <v>10</v>
      </c>
      <c r="F23" s="1" t="s">
        <v>284</v>
      </c>
      <c r="G23" s="5">
        <v>859</v>
      </c>
      <c r="H23" s="3" t="s">
        <v>12</v>
      </c>
    </row>
    <row r="24" spans="1:8" x14ac:dyDescent="0.3">
      <c r="A24" s="2">
        <v>46078</v>
      </c>
      <c r="B24" s="1" t="s">
        <v>218</v>
      </c>
      <c r="C24" s="1" t="s">
        <v>8</v>
      </c>
      <c r="D24" s="1" t="s">
        <v>9</v>
      </c>
      <c r="E24" s="1" t="s">
        <v>10</v>
      </c>
      <c r="F24" s="1" t="s">
        <v>285</v>
      </c>
      <c r="G24" s="5">
        <v>865.28</v>
      </c>
      <c r="H24" s="3" t="s">
        <v>12</v>
      </c>
    </row>
    <row r="25" spans="1:8" x14ac:dyDescent="0.3">
      <c r="A25" s="2">
        <v>46078</v>
      </c>
      <c r="B25" s="1" t="s">
        <v>218</v>
      </c>
      <c r="C25" s="1" t="s">
        <v>8</v>
      </c>
      <c r="D25" s="1" t="s">
        <v>9</v>
      </c>
      <c r="E25" s="1" t="s">
        <v>28</v>
      </c>
      <c r="F25" s="1" t="s">
        <v>285</v>
      </c>
      <c r="G25" s="5">
        <v>450.69</v>
      </c>
      <c r="H25" s="3" t="s">
        <v>12</v>
      </c>
    </row>
    <row r="26" spans="1:8" x14ac:dyDescent="0.3">
      <c r="A26" s="2">
        <v>46078</v>
      </c>
      <c r="B26" s="1" t="s">
        <v>15</v>
      </c>
      <c r="C26" s="1" t="s">
        <v>8</v>
      </c>
      <c r="D26" s="1" t="s">
        <v>9</v>
      </c>
      <c r="E26" s="1" t="s">
        <v>10</v>
      </c>
      <c r="F26" s="1" t="s">
        <v>286</v>
      </c>
      <c r="G26" s="5">
        <v>838.14</v>
      </c>
      <c r="H26" s="3" t="s">
        <v>12</v>
      </c>
    </row>
    <row r="27" spans="1:8" x14ac:dyDescent="0.3">
      <c r="A27" s="2">
        <v>46078</v>
      </c>
      <c r="B27" s="1" t="s">
        <v>15</v>
      </c>
      <c r="C27" s="1" t="s">
        <v>8</v>
      </c>
      <c r="D27" s="1" t="s">
        <v>9</v>
      </c>
      <c r="E27" s="1" t="s">
        <v>10</v>
      </c>
      <c r="F27" s="1" t="s">
        <v>287</v>
      </c>
      <c r="G27" s="5">
        <v>116</v>
      </c>
      <c r="H27" s="3" t="s">
        <v>12</v>
      </c>
    </row>
    <row r="28" spans="1:8" x14ac:dyDescent="0.3">
      <c r="A28" s="2">
        <v>46078</v>
      </c>
      <c r="B28" s="1" t="s">
        <v>218</v>
      </c>
      <c r="C28" s="1" t="s">
        <v>8</v>
      </c>
      <c r="D28" s="1" t="s">
        <v>9</v>
      </c>
      <c r="E28" s="1" t="s">
        <v>10</v>
      </c>
      <c r="F28" s="1" t="s">
        <v>288</v>
      </c>
      <c r="G28" s="5">
        <v>37.99</v>
      </c>
      <c r="H28" s="3" t="s">
        <v>12</v>
      </c>
    </row>
    <row r="29" spans="1:8" x14ac:dyDescent="0.3">
      <c r="A29" s="2">
        <v>46078</v>
      </c>
      <c r="B29" s="1" t="s">
        <v>50</v>
      </c>
      <c r="C29" s="1" t="s">
        <v>30</v>
      </c>
      <c r="D29" s="1" t="s">
        <v>9</v>
      </c>
      <c r="E29" s="1" t="s">
        <v>10</v>
      </c>
      <c r="F29" s="1" t="s">
        <v>289</v>
      </c>
      <c r="G29" s="5">
        <v>80</v>
      </c>
      <c r="H29" s="3" t="s">
        <v>12</v>
      </c>
    </row>
    <row r="30" spans="1:8" x14ac:dyDescent="0.3">
      <c r="A30" s="2">
        <v>46077</v>
      </c>
      <c r="B30" s="1" t="s">
        <v>34</v>
      </c>
      <c r="C30" s="1" t="s">
        <v>8</v>
      </c>
      <c r="D30" s="1" t="s">
        <v>23</v>
      </c>
      <c r="E30" s="1" t="s">
        <v>10</v>
      </c>
      <c r="F30" s="1" t="s">
        <v>290</v>
      </c>
      <c r="G30" s="5">
        <v>234.83</v>
      </c>
      <c r="H30" s="3" t="s">
        <v>12</v>
      </c>
    </row>
    <row r="31" spans="1:8" x14ac:dyDescent="0.3">
      <c r="A31" s="2">
        <v>46077</v>
      </c>
      <c r="B31" s="1" t="s">
        <v>45</v>
      </c>
      <c r="C31" s="1" t="s">
        <v>20</v>
      </c>
      <c r="D31" s="1" t="s">
        <v>9</v>
      </c>
      <c r="E31" s="1" t="s">
        <v>10</v>
      </c>
      <c r="F31" s="1" t="s">
        <v>105</v>
      </c>
      <c r="G31" s="5">
        <v>2981.5</v>
      </c>
      <c r="H31" s="3" t="s">
        <v>12</v>
      </c>
    </row>
    <row r="32" spans="1:8" x14ac:dyDescent="0.3">
      <c r="A32" s="2">
        <v>46077</v>
      </c>
      <c r="B32" s="1" t="s">
        <v>45</v>
      </c>
      <c r="C32" s="1" t="s">
        <v>20</v>
      </c>
      <c r="D32" s="1" t="s">
        <v>9</v>
      </c>
      <c r="E32" s="1" t="s">
        <v>10</v>
      </c>
      <c r="F32" s="1" t="s">
        <v>291</v>
      </c>
      <c r="G32" s="5">
        <v>5342.69</v>
      </c>
      <c r="H32" s="3" t="s">
        <v>12</v>
      </c>
    </row>
    <row r="33" spans="1:8" x14ac:dyDescent="0.3">
      <c r="A33" s="2">
        <v>46077</v>
      </c>
      <c r="B33" s="1" t="s">
        <v>34</v>
      </c>
      <c r="C33" s="1" t="s">
        <v>8</v>
      </c>
      <c r="D33" s="1" t="s">
        <v>9</v>
      </c>
      <c r="E33" s="1" t="s">
        <v>10</v>
      </c>
      <c r="F33" s="1" t="s">
        <v>292</v>
      </c>
      <c r="G33" s="5">
        <v>925.02</v>
      </c>
      <c r="H33" s="3" t="s">
        <v>12</v>
      </c>
    </row>
    <row r="34" spans="1:8" x14ac:dyDescent="0.3">
      <c r="A34" s="2">
        <v>46077</v>
      </c>
      <c r="B34" s="1" t="s">
        <v>34</v>
      </c>
      <c r="C34" s="1" t="s">
        <v>8</v>
      </c>
      <c r="D34" s="1" t="s">
        <v>9</v>
      </c>
      <c r="E34" s="1" t="s">
        <v>10</v>
      </c>
      <c r="F34" s="1" t="s">
        <v>293</v>
      </c>
      <c r="G34" s="5">
        <v>650.17999999999995</v>
      </c>
      <c r="H34" s="3" t="s">
        <v>12</v>
      </c>
    </row>
    <row r="35" spans="1:8" x14ac:dyDescent="0.3">
      <c r="A35" s="2">
        <v>46077</v>
      </c>
      <c r="B35" s="1" t="s">
        <v>34</v>
      </c>
      <c r="C35" s="1" t="s">
        <v>8</v>
      </c>
      <c r="D35" s="1" t="s">
        <v>9</v>
      </c>
      <c r="E35" s="1" t="s">
        <v>10</v>
      </c>
      <c r="F35" s="1" t="s">
        <v>294</v>
      </c>
      <c r="G35" s="5">
        <v>470.35</v>
      </c>
      <c r="H35" s="3" t="s">
        <v>12</v>
      </c>
    </row>
    <row r="36" spans="1:8" x14ac:dyDescent="0.3">
      <c r="A36" s="2">
        <v>46077</v>
      </c>
      <c r="B36" s="1" t="s">
        <v>34</v>
      </c>
      <c r="C36" s="1" t="s">
        <v>8</v>
      </c>
      <c r="D36" s="1" t="s">
        <v>9</v>
      </c>
      <c r="E36" s="1" t="s">
        <v>10</v>
      </c>
      <c r="F36" s="1" t="s">
        <v>295</v>
      </c>
      <c r="G36" s="5">
        <v>750.21</v>
      </c>
      <c r="H36" s="3" t="s">
        <v>12</v>
      </c>
    </row>
    <row r="37" spans="1:8" x14ac:dyDescent="0.3">
      <c r="A37" s="2">
        <v>46077</v>
      </c>
      <c r="B37" s="1" t="s">
        <v>34</v>
      </c>
      <c r="C37" s="1" t="s">
        <v>8</v>
      </c>
      <c r="D37" s="1" t="s">
        <v>9</v>
      </c>
      <c r="E37" s="1" t="s">
        <v>10</v>
      </c>
      <c r="F37" s="1" t="s">
        <v>296</v>
      </c>
      <c r="G37" s="5">
        <v>1500</v>
      </c>
      <c r="H37" s="3" t="s">
        <v>12</v>
      </c>
    </row>
    <row r="38" spans="1:8" x14ac:dyDescent="0.3">
      <c r="A38" s="2">
        <v>46077</v>
      </c>
      <c r="B38" s="1" t="s">
        <v>79</v>
      </c>
      <c r="C38" s="1" t="s">
        <v>30</v>
      </c>
      <c r="D38" s="1" t="s">
        <v>23</v>
      </c>
      <c r="E38" s="1" t="s">
        <v>10</v>
      </c>
      <c r="F38" s="1" t="s">
        <v>297</v>
      </c>
      <c r="G38" s="5">
        <v>1190</v>
      </c>
      <c r="H38" s="3" t="s">
        <v>12</v>
      </c>
    </row>
    <row r="39" spans="1:8" x14ac:dyDescent="0.3">
      <c r="A39" s="2">
        <v>46077</v>
      </c>
      <c r="B39" s="1" t="s">
        <v>34</v>
      </c>
      <c r="C39" s="1" t="s">
        <v>8</v>
      </c>
      <c r="D39" s="1" t="s">
        <v>9</v>
      </c>
      <c r="E39" s="1" t="s">
        <v>10</v>
      </c>
      <c r="F39" s="1" t="s">
        <v>298</v>
      </c>
      <c r="G39" s="5">
        <v>1908.8</v>
      </c>
      <c r="H39" s="3" t="s">
        <v>12</v>
      </c>
    </row>
    <row r="40" spans="1:8" x14ac:dyDescent="0.3">
      <c r="A40" s="2">
        <v>46077</v>
      </c>
      <c r="B40" s="1" t="s">
        <v>34</v>
      </c>
      <c r="C40" s="1" t="s">
        <v>8</v>
      </c>
      <c r="D40" s="1" t="s">
        <v>9</v>
      </c>
      <c r="E40" s="1" t="s">
        <v>10</v>
      </c>
      <c r="F40" s="1" t="s">
        <v>299</v>
      </c>
      <c r="G40" s="5">
        <v>1007.44</v>
      </c>
      <c r="H40" s="3" t="s">
        <v>12</v>
      </c>
    </row>
    <row r="41" spans="1:8" x14ac:dyDescent="0.3">
      <c r="A41" s="2">
        <v>46076</v>
      </c>
      <c r="B41" s="1" t="s">
        <v>13</v>
      </c>
      <c r="C41" s="1" t="s">
        <v>8</v>
      </c>
      <c r="D41" s="1" t="s">
        <v>9</v>
      </c>
      <c r="E41" s="1" t="s">
        <v>10</v>
      </c>
      <c r="F41" s="1" t="s">
        <v>300</v>
      </c>
      <c r="G41" s="5">
        <v>1883.52</v>
      </c>
      <c r="H41" s="3" t="s">
        <v>12</v>
      </c>
    </row>
    <row r="42" spans="1:8" x14ac:dyDescent="0.3">
      <c r="A42" s="2">
        <v>46076</v>
      </c>
      <c r="B42" s="1" t="s">
        <v>34</v>
      </c>
      <c r="C42" s="1" t="s">
        <v>8</v>
      </c>
      <c r="D42" s="1" t="s">
        <v>9</v>
      </c>
      <c r="E42" s="1" t="s">
        <v>10</v>
      </c>
      <c r="F42" s="1" t="s">
        <v>301</v>
      </c>
      <c r="G42" s="5">
        <v>1683.73</v>
      </c>
      <c r="H42" s="3" t="s">
        <v>12</v>
      </c>
    </row>
    <row r="43" spans="1:8" x14ac:dyDescent="0.3">
      <c r="A43" s="2">
        <v>46074</v>
      </c>
      <c r="B43" s="1" t="s">
        <v>180</v>
      </c>
      <c r="C43" s="1" t="s">
        <v>8</v>
      </c>
      <c r="D43" s="1" t="s">
        <v>9</v>
      </c>
      <c r="E43" s="1" t="s">
        <v>10</v>
      </c>
      <c r="F43" s="1" t="s">
        <v>302</v>
      </c>
      <c r="G43" s="5">
        <v>208.8</v>
      </c>
      <c r="H43" s="3" t="s">
        <v>12</v>
      </c>
    </row>
    <row r="44" spans="1:8" x14ac:dyDescent="0.3">
      <c r="A44" s="2">
        <v>46073</v>
      </c>
      <c r="B44" s="1" t="s">
        <v>15</v>
      </c>
      <c r="C44" s="1" t="s">
        <v>30</v>
      </c>
      <c r="D44" s="1" t="s">
        <v>9</v>
      </c>
      <c r="E44" s="1" t="s">
        <v>10</v>
      </c>
      <c r="F44" s="1" t="s">
        <v>303</v>
      </c>
      <c r="G44" s="5">
        <v>44</v>
      </c>
      <c r="H44" s="3" t="s">
        <v>12</v>
      </c>
    </row>
    <row r="45" spans="1:8" x14ac:dyDescent="0.3">
      <c r="A45" s="2">
        <v>46073</v>
      </c>
      <c r="B45" s="1" t="s">
        <v>81</v>
      </c>
      <c r="C45" s="1" t="s">
        <v>30</v>
      </c>
      <c r="D45" s="1" t="s">
        <v>9</v>
      </c>
      <c r="E45" s="1" t="s">
        <v>10</v>
      </c>
      <c r="F45" s="1" t="s">
        <v>304</v>
      </c>
      <c r="G45" s="5">
        <v>528</v>
      </c>
      <c r="H45" s="3" t="s">
        <v>12</v>
      </c>
    </row>
    <row r="46" spans="1:8" x14ac:dyDescent="0.3">
      <c r="A46" s="2">
        <v>46073</v>
      </c>
      <c r="B46" s="1" t="s">
        <v>81</v>
      </c>
      <c r="C46" s="1" t="s">
        <v>30</v>
      </c>
      <c r="D46" s="1" t="s">
        <v>9</v>
      </c>
      <c r="E46" s="1" t="s">
        <v>10</v>
      </c>
      <c r="F46" s="1" t="s">
        <v>305</v>
      </c>
      <c r="G46" s="5">
        <v>345</v>
      </c>
      <c r="H46" s="3" t="s">
        <v>12</v>
      </c>
    </row>
    <row r="47" spans="1:8" x14ac:dyDescent="0.3">
      <c r="A47" s="2">
        <v>46073</v>
      </c>
      <c r="B47" s="1" t="s">
        <v>81</v>
      </c>
      <c r="C47" s="1" t="s">
        <v>30</v>
      </c>
      <c r="D47" s="1" t="s">
        <v>9</v>
      </c>
      <c r="E47" s="1" t="s">
        <v>10</v>
      </c>
      <c r="F47" s="1" t="s">
        <v>306</v>
      </c>
      <c r="G47" s="5">
        <v>59</v>
      </c>
      <c r="H47" s="3" t="s">
        <v>12</v>
      </c>
    </row>
    <row r="48" spans="1:8" x14ac:dyDescent="0.3">
      <c r="A48" s="2">
        <v>46073</v>
      </c>
      <c r="B48" s="1" t="s">
        <v>81</v>
      </c>
      <c r="C48" s="1" t="s">
        <v>30</v>
      </c>
      <c r="D48" s="1" t="s">
        <v>9</v>
      </c>
      <c r="E48" s="1" t="s">
        <v>10</v>
      </c>
      <c r="F48" s="1" t="s">
        <v>307</v>
      </c>
      <c r="G48" s="5">
        <v>25</v>
      </c>
      <c r="H48" s="3" t="s">
        <v>12</v>
      </c>
    </row>
    <row r="49" spans="1:8" x14ac:dyDescent="0.3">
      <c r="A49" s="2">
        <v>46073</v>
      </c>
      <c r="B49" s="1" t="s">
        <v>81</v>
      </c>
      <c r="C49" s="1" t="s">
        <v>30</v>
      </c>
      <c r="D49" s="1" t="s">
        <v>9</v>
      </c>
      <c r="E49" s="1" t="s">
        <v>10</v>
      </c>
      <c r="F49" s="1" t="s">
        <v>308</v>
      </c>
      <c r="G49" s="5">
        <v>25</v>
      </c>
      <c r="H49" s="3" t="s">
        <v>12</v>
      </c>
    </row>
    <row r="50" spans="1:8" x14ac:dyDescent="0.3">
      <c r="A50" s="2">
        <v>46073</v>
      </c>
      <c r="B50" s="1" t="s">
        <v>81</v>
      </c>
      <c r="C50" s="1" t="s">
        <v>30</v>
      </c>
      <c r="D50" s="1" t="s">
        <v>9</v>
      </c>
      <c r="E50" s="1" t="s">
        <v>10</v>
      </c>
      <c r="F50" s="1" t="s">
        <v>309</v>
      </c>
      <c r="G50" s="5">
        <v>59</v>
      </c>
      <c r="H50" s="3" t="s">
        <v>12</v>
      </c>
    </row>
    <row r="51" spans="1:8" x14ac:dyDescent="0.3">
      <c r="A51" s="2">
        <v>46073</v>
      </c>
      <c r="B51" s="1" t="s">
        <v>25</v>
      </c>
      <c r="C51" s="1" t="s">
        <v>20</v>
      </c>
      <c r="D51" s="1" t="s">
        <v>9</v>
      </c>
      <c r="E51" s="1" t="s">
        <v>26</v>
      </c>
      <c r="F51" s="1" t="s">
        <v>310</v>
      </c>
      <c r="G51" s="5">
        <v>172910.26</v>
      </c>
      <c r="H51" s="3" t="s">
        <v>12</v>
      </c>
    </row>
    <row r="52" spans="1:8" x14ac:dyDescent="0.3">
      <c r="A52" s="2">
        <v>46073</v>
      </c>
      <c r="B52" s="1" t="s">
        <v>25</v>
      </c>
      <c r="C52" s="1" t="s">
        <v>20</v>
      </c>
      <c r="D52" s="1" t="s">
        <v>9</v>
      </c>
      <c r="E52" s="1" t="s">
        <v>28</v>
      </c>
      <c r="F52" s="1" t="s">
        <v>310</v>
      </c>
      <c r="G52" s="5">
        <v>10980.07</v>
      </c>
      <c r="H52" s="3" t="s">
        <v>12</v>
      </c>
    </row>
    <row r="53" spans="1:8" x14ac:dyDescent="0.3">
      <c r="A53" s="2">
        <v>46073</v>
      </c>
      <c r="B53" s="1" t="s">
        <v>34</v>
      </c>
      <c r="C53" s="1" t="s">
        <v>8</v>
      </c>
      <c r="D53" s="1" t="s">
        <v>9</v>
      </c>
      <c r="E53" s="1" t="s">
        <v>10</v>
      </c>
      <c r="F53" s="1" t="s">
        <v>311</v>
      </c>
      <c r="G53" s="5">
        <v>500</v>
      </c>
      <c r="H53" s="3" t="s">
        <v>12</v>
      </c>
    </row>
    <row r="54" spans="1:8" x14ac:dyDescent="0.3">
      <c r="A54" s="2">
        <v>46073</v>
      </c>
      <c r="B54" s="1" t="s">
        <v>34</v>
      </c>
      <c r="C54" s="1" t="s">
        <v>8</v>
      </c>
      <c r="D54" s="1" t="s">
        <v>9</v>
      </c>
      <c r="E54" s="1" t="s">
        <v>10</v>
      </c>
      <c r="F54" s="1" t="s">
        <v>312</v>
      </c>
      <c r="G54" s="5">
        <v>1007.51</v>
      </c>
      <c r="H54" s="3" t="s">
        <v>12</v>
      </c>
    </row>
    <row r="55" spans="1:8" x14ac:dyDescent="0.3">
      <c r="A55" s="2">
        <v>46073</v>
      </c>
      <c r="B55" s="1" t="s">
        <v>180</v>
      </c>
      <c r="C55" s="1" t="s">
        <v>8</v>
      </c>
      <c r="D55" s="1" t="s">
        <v>9</v>
      </c>
      <c r="E55" s="1" t="s">
        <v>10</v>
      </c>
      <c r="F55" s="1" t="s">
        <v>313</v>
      </c>
      <c r="G55" s="5">
        <v>544.34</v>
      </c>
      <c r="H55" s="3" t="s">
        <v>12</v>
      </c>
    </row>
    <row r="56" spans="1:8" x14ac:dyDescent="0.3">
      <c r="A56" s="2">
        <v>46073</v>
      </c>
      <c r="B56" s="1" t="s">
        <v>7</v>
      </c>
      <c r="C56" s="1" t="s">
        <v>8</v>
      </c>
      <c r="D56" s="1" t="s">
        <v>23</v>
      </c>
      <c r="E56" s="1" t="s">
        <v>10</v>
      </c>
      <c r="F56" s="1" t="s">
        <v>314</v>
      </c>
      <c r="G56" s="5">
        <v>3780</v>
      </c>
      <c r="H56" s="3" t="s">
        <v>12</v>
      </c>
    </row>
    <row r="57" spans="1:8" x14ac:dyDescent="0.3">
      <c r="A57" s="2">
        <v>46073</v>
      </c>
      <c r="B57" s="1" t="s">
        <v>34</v>
      </c>
      <c r="C57" s="1" t="s">
        <v>8</v>
      </c>
      <c r="D57" s="1" t="s">
        <v>9</v>
      </c>
      <c r="E57" s="1" t="s">
        <v>10</v>
      </c>
      <c r="F57" s="1" t="s">
        <v>315</v>
      </c>
      <c r="G57" s="5">
        <v>800</v>
      </c>
      <c r="H57" s="3" t="s">
        <v>12</v>
      </c>
    </row>
    <row r="58" spans="1:8" x14ac:dyDescent="0.3">
      <c r="A58" s="2">
        <v>46073</v>
      </c>
      <c r="B58" s="1" t="s">
        <v>34</v>
      </c>
      <c r="C58" s="1" t="s">
        <v>8</v>
      </c>
      <c r="D58" s="1" t="s">
        <v>9</v>
      </c>
      <c r="E58" s="1" t="s">
        <v>10</v>
      </c>
      <c r="F58" s="1" t="s">
        <v>316</v>
      </c>
      <c r="G58" s="5">
        <v>800</v>
      </c>
      <c r="H58" s="3" t="s">
        <v>12</v>
      </c>
    </row>
    <row r="59" spans="1:8" x14ac:dyDescent="0.3">
      <c r="A59" s="2">
        <v>46072</v>
      </c>
      <c r="B59" s="1" t="s">
        <v>13</v>
      </c>
      <c r="C59" s="1" t="s">
        <v>8</v>
      </c>
      <c r="D59" s="1" t="s">
        <v>9</v>
      </c>
      <c r="E59" s="1" t="s">
        <v>10</v>
      </c>
      <c r="F59" s="1" t="s">
        <v>317</v>
      </c>
      <c r="G59" s="5">
        <v>320</v>
      </c>
      <c r="H59" s="3" t="s">
        <v>12</v>
      </c>
    </row>
    <row r="60" spans="1:8" x14ac:dyDescent="0.3">
      <c r="A60" s="2">
        <v>46072</v>
      </c>
      <c r="B60" s="1" t="s">
        <v>29</v>
      </c>
      <c r="C60" s="1" t="s">
        <v>102</v>
      </c>
      <c r="D60" s="1" t="s">
        <v>9</v>
      </c>
      <c r="E60" s="1" t="s">
        <v>10</v>
      </c>
      <c r="F60" s="1" t="s">
        <v>318</v>
      </c>
      <c r="G60" s="5">
        <v>229</v>
      </c>
      <c r="H60" s="3" t="s">
        <v>12</v>
      </c>
    </row>
    <row r="61" spans="1:8" x14ac:dyDescent="0.3">
      <c r="A61" s="2">
        <v>46072</v>
      </c>
      <c r="B61" s="1" t="s">
        <v>81</v>
      </c>
      <c r="C61" s="1" t="s">
        <v>8</v>
      </c>
      <c r="D61" s="1" t="s">
        <v>9</v>
      </c>
      <c r="E61" s="1" t="s">
        <v>10</v>
      </c>
      <c r="F61" s="1" t="s">
        <v>319</v>
      </c>
      <c r="G61" s="5">
        <v>98</v>
      </c>
      <c r="H61" s="3" t="s">
        <v>12</v>
      </c>
    </row>
    <row r="62" spans="1:8" x14ac:dyDescent="0.3">
      <c r="A62" s="2">
        <v>46072</v>
      </c>
      <c r="B62" s="1" t="s">
        <v>81</v>
      </c>
      <c r="C62" s="1" t="s">
        <v>8</v>
      </c>
      <c r="D62" s="1" t="s">
        <v>9</v>
      </c>
      <c r="E62" s="1" t="s">
        <v>10</v>
      </c>
      <c r="F62" s="1" t="s">
        <v>320</v>
      </c>
      <c r="G62" s="5">
        <v>273.39999999999998</v>
      </c>
      <c r="H62" s="3" t="s">
        <v>12</v>
      </c>
    </row>
    <row r="63" spans="1:8" x14ac:dyDescent="0.3">
      <c r="A63" s="2">
        <v>46072</v>
      </c>
      <c r="B63" s="1" t="s">
        <v>34</v>
      </c>
      <c r="C63" s="1" t="s">
        <v>8</v>
      </c>
      <c r="D63" s="1" t="s">
        <v>9</v>
      </c>
      <c r="E63" s="1" t="s">
        <v>10</v>
      </c>
      <c r="F63" s="1" t="s">
        <v>321</v>
      </c>
      <c r="G63" s="5">
        <v>969.77</v>
      </c>
      <c r="H63" s="3" t="s">
        <v>12</v>
      </c>
    </row>
    <row r="64" spans="1:8" x14ac:dyDescent="0.3">
      <c r="A64" s="2">
        <v>46072</v>
      </c>
      <c r="B64" s="1" t="s">
        <v>34</v>
      </c>
      <c r="C64" s="1" t="s">
        <v>8</v>
      </c>
      <c r="D64" s="1" t="s">
        <v>9</v>
      </c>
      <c r="E64" s="1" t="s">
        <v>10</v>
      </c>
      <c r="F64" s="1" t="s">
        <v>322</v>
      </c>
      <c r="G64" s="5">
        <v>768.18</v>
      </c>
      <c r="H64" s="3" t="s">
        <v>12</v>
      </c>
    </row>
    <row r="65" spans="1:8" x14ac:dyDescent="0.3">
      <c r="A65" s="2">
        <v>46072</v>
      </c>
      <c r="B65" s="1" t="s">
        <v>258</v>
      </c>
      <c r="C65" s="1" t="s">
        <v>8</v>
      </c>
      <c r="D65" s="1" t="s">
        <v>9</v>
      </c>
      <c r="E65" s="1" t="s">
        <v>28</v>
      </c>
      <c r="F65" s="1" t="s">
        <v>323</v>
      </c>
      <c r="G65" s="5">
        <v>182.5</v>
      </c>
      <c r="H65" s="3" t="s">
        <v>12</v>
      </c>
    </row>
    <row r="66" spans="1:8" x14ac:dyDescent="0.3">
      <c r="A66" s="2">
        <v>46072</v>
      </c>
      <c r="B66" s="1" t="s">
        <v>34</v>
      </c>
      <c r="C66" s="1" t="s">
        <v>8</v>
      </c>
      <c r="D66" s="1" t="s">
        <v>9</v>
      </c>
      <c r="E66" s="1" t="s">
        <v>10</v>
      </c>
      <c r="F66" s="1" t="s">
        <v>324</v>
      </c>
      <c r="G66" s="5">
        <v>800</v>
      </c>
      <c r="H66" s="3" t="s">
        <v>12</v>
      </c>
    </row>
    <row r="67" spans="1:8" x14ac:dyDescent="0.3">
      <c r="A67" s="2">
        <v>46072</v>
      </c>
      <c r="B67" s="1" t="s">
        <v>79</v>
      </c>
      <c r="C67" s="1" t="s">
        <v>30</v>
      </c>
      <c r="D67" s="1" t="s">
        <v>9</v>
      </c>
      <c r="E67" s="1" t="s">
        <v>28</v>
      </c>
      <c r="F67" s="1" t="s">
        <v>325</v>
      </c>
      <c r="G67" s="5">
        <v>300</v>
      </c>
      <c r="H67" s="3" t="s">
        <v>12</v>
      </c>
    </row>
    <row r="68" spans="1:8" x14ac:dyDescent="0.3">
      <c r="A68" s="2">
        <v>46071</v>
      </c>
      <c r="B68" s="1" t="s">
        <v>15</v>
      </c>
      <c r="C68" s="1" t="s">
        <v>8</v>
      </c>
      <c r="D68" s="1" t="s">
        <v>9</v>
      </c>
      <c r="E68" s="1" t="s">
        <v>10</v>
      </c>
      <c r="F68" s="1" t="s">
        <v>326</v>
      </c>
      <c r="G68" s="5">
        <v>312</v>
      </c>
      <c r="H68" s="3" t="s">
        <v>12</v>
      </c>
    </row>
    <row r="69" spans="1:8" x14ac:dyDescent="0.3">
      <c r="A69" s="2">
        <v>46071</v>
      </c>
      <c r="B69" s="1" t="s">
        <v>34</v>
      </c>
      <c r="C69" s="1" t="s">
        <v>8</v>
      </c>
      <c r="D69" s="1" t="s">
        <v>9</v>
      </c>
      <c r="E69" s="1" t="s">
        <v>10</v>
      </c>
      <c r="F69" s="1" t="s">
        <v>327</v>
      </c>
      <c r="G69" s="5">
        <v>1937.73</v>
      </c>
      <c r="H69" s="3" t="s">
        <v>12</v>
      </c>
    </row>
    <row r="70" spans="1:8" x14ac:dyDescent="0.3">
      <c r="A70" s="2">
        <v>46071</v>
      </c>
      <c r="B70" s="1" t="s">
        <v>89</v>
      </c>
      <c r="C70" s="1" t="s">
        <v>8</v>
      </c>
      <c r="D70" s="1" t="s">
        <v>9</v>
      </c>
      <c r="E70" s="1" t="s">
        <v>10</v>
      </c>
      <c r="F70" s="1" t="s">
        <v>328</v>
      </c>
      <c r="G70" s="5">
        <v>889</v>
      </c>
      <c r="H70" s="3" t="s">
        <v>12</v>
      </c>
    </row>
    <row r="71" spans="1:8" x14ac:dyDescent="0.3">
      <c r="A71" s="2">
        <v>46071</v>
      </c>
      <c r="B71" s="1" t="s">
        <v>7</v>
      </c>
      <c r="C71" s="1" t="s">
        <v>8</v>
      </c>
      <c r="D71" s="1" t="s">
        <v>9</v>
      </c>
      <c r="E71" s="1" t="s">
        <v>10</v>
      </c>
      <c r="F71" s="1" t="s">
        <v>329</v>
      </c>
      <c r="G71" s="5">
        <v>780.8</v>
      </c>
      <c r="H71" s="3" t="s">
        <v>12</v>
      </c>
    </row>
    <row r="72" spans="1:8" x14ac:dyDescent="0.3">
      <c r="A72" s="2">
        <v>46071</v>
      </c>
      <c r="B72" s="1" t="s">
        <v>15</v>
      </c>
      <c r="C72" s="1" t="s">
        <v>8</v>
      </c>
      <c r="D72" s="1" t="s">
        <v>9</v>
      </c>
      <c r="E72" s="1" t="s">
        <v>10</v>
      </c>
      <c r="F72" s="1" t="s">
        <v>330</v>
      </c>
      <c r="G72" s="5">
        <v>5673.24</v>
      </c>
      <c r="H72" s="3" t="s">
        <v>12</v>
      </c>
    </row>
    <row r="73" spans="1:8" x14ac:dyDescent="0.3">
      <c r="A73" s="2">
        <v>46071</v>
      </c>
      <c r="B73" s="1" t="s">
        <v>34</v>
      </c>
      <c r="C73" s="1" t="s">
        <v>8</v>
      </c>
      <c r="D73" s="1" t="s">
        <v>9</v>
      </c>
      <c r="E73" s="1" t="s">
        <v>10</v>
      </c>
      <c r="F73" s="1" t="s">
        <v>331</v>
      </c>
      <c r="G73" s="5">
        <v>1000</v>
      </c>
      <c r="H73" s="3" t="s">
        <v>12</v>
      </c>
    </row>
    <row r="74" spans="1:8" x14ac:dyDescent="0.3">
      <c r="A74" s="2">
        <v>46071</v>
      </c>
      <c r="B74" s="1" t="s">
        <v>113</v>
      </c>
      <c r="C74" s="1" t="s">
        <v>20</v>
      </c>
      <c r="D74" s="1" t="s">
        <v>9</v>
      </c>
      <c r="E74" s="1" t="s">
        <v>10</v>
      </c>
      <c r="F74" s="1" t="s">
        <v>332</v>
      </c>
      <c r="G74" s="5">
        <v>18126</v>
      </c>
      <c r="H74" s="3" t="s">
        <v>12</v>
      </c>
    </row>
    <row r="75" spans="1:8" x14ac:dyDescent="0.3">
      <c r="A75" s="2">
        <v>46071</v>
      </c>
      <c r="B75" s="1" t="s">
        <v>258</v>
      </c>
      <c r="C75" s="1" t="s">
        <v>8</v>
      </c>
      <c r="D75" s="1" t="s">
        <v>9</v>
      </c>
      <c r="E75" s="1" t="s">
        <v>28</v>
      </c>
      <c r="F75" s="1" t="s">
        <v>333</v>
      </c>
      <c r="G75" s="5">
        <v>98.4</v>
      </c>
      <c r="H75" s="3" t="s">
        <v>12</v>
      </c>
    </row>
    <row r="76" spans="1:8" x14ac:dyDescent="0.3">
      <c r="A76" s="2">
        <v>46071</v>
      </c>
      <c r="B76" s="1" t="s">
        <v>154</v>
      </c>
      <c r="C76" s="1" t="s">
        <v>8</v>
      </c>
      <c r="D76" s="1" t="s">
        <v>9</v>
      </c>
      <c r="E76" s="1" t="s">
        <v>10</v>
      </c>
      <c r="F76" s="1" t="s">
        <v>334</v>
      </c>
      <c r="G76" s="5">
        <v>11665.16</v>
      </c>
      <c r="H76" s="3" t="s">
        <v>12</v>
      </c>
    </row>
    <row r="77" spans="1:8" x14ac:dyDescent="0.3">
      <c r="A77" s="2">
        <v>46071</v>
      </c>
      <c r="B77" s="1" t="s">
        <v>62</v>
      </c>
      <c r="C77" s="1" t="s">
        <v>8</v>
      </c>
      <c r="D77" s="1" t="s">
        <v>9</v>
      </c>
      <c r="E77" s="1" t="s">
        <v>10</v>
      </c>
      <c r="F77" s="1" t="s">
        <v>335</v>
      </c>
      <c r="G77" s="5">
        <v>6528.35</v>
      </c>
      <c r="H77" s="3" t="s">
        <v>12</v>
      </c>
    </row>
    <row r="78" spans="1:8" x14ac:dyDescent="0.3">
      <c r="A78" s="2">
        <v>46071</v>
      </c>
      <c r="B78" s="1" t="s">
        <v>7</v>
      </c>
      <c r="C78" s="1" t="s">
        <v>20</v>
      </c>
      <c r="D78" s="1" t="s">
        <v>9</v>
      </c>
      <c r="E78" s="1" t="s">
        <v>10</v>
      </c>
      <c r="F78" s="1" t="s">
        <v>336</v>
      </c>
      <c r="G78" s="5">
        <v>3066.87</v>
      </c>
      <c r="H78" s="3" t="s">
        <v>12</v>
      </c>
    </row>
    <row r="79" spans="1:8" x14ac:dyDescent="0.3">
      <c r="A79" s="2">
        <v>46071</v>
      </c>
      <c r="B79" s="1" t="s">
        <v>55</v>
      </c>
      <c r="C79" s="1" t="s">
        <v>20</v>
      </c>
      <c r="D79" s="1" t="s">
        <v>9</v>
      </c>
      <c r="E79" s="1" t="s">
        <v>10</v>
      </c>
      <c r="F79" s="1" t="s">
        <v>337</v>
      </c>
      <c r="G79" s="5">
        <v>19440</v>
      </c>
      <c r="H79" s="3" t="s">
        <v>12</v>
      </c>
    </row>
    <row r="80" spans="1:8" x14ac:dyDescent="0.3">
      <c r="A80" s="2">
        <v>46071</v>
      </c>
      <c r="B80" s="1" t="s">
        <v>62</v>
      </c>
      <c r="C80" s="1" t="s">
        <v>8</v>
      </c>
      <c r="D80" s="1" t="s">
        <v>9</v>
      </c>
      <c r="E80" s="1" t="s">
        <v>10</v>
      </c>
      <c r="F80" s="1" t="s">
        <v>338</v>
      </c>
      <c r="G80" s="5">
        <v>596</v>
      </c>
      <c r="H80" s="3" t="s">
        <v>12</v>
      </c>
    </row>
    <row r="81" spans="1:8" x14ac:dyDescent="0.3">
      <c r="A81" s="2">
        <v>46071</v>
      </c>
      <c r="B81" s="1" t="s">
        <v>258</v>
      </c>
      <c r="C81" s="1" t="s">
        <v>8</v>
      </c>
      <c r="D81" s="1" t="s">
        <v>9</v>
      </c>
      <c r="E81" s="1" t="s">
        <v>28</v>
      </c>
      <c r="F81" s="1" t="s">
        <v>339</v>
      </c>
      <c r="G81" s="5">
        <v>3300</v>
      </c>
      <c r="H81" s="3" t="s">
        <v>12</v>
      </c>
    </row>
    <row r="82" spans="1:8" x14ac:dyDescent="0.3">
      <c r="A82" s="2">
        <v>46071</v>
      </c>
      <c r="B82" s="1" t="s">
        <v>258</v>
      </c>
      <c r="C82" s="1" t="s">
        <v>8</v>
      </c>
      <c r="D82" s="1" t="s">
        <v>9</v>
      </c>
      <c r="E82" s="1" t="s">
        <v>28</v>
      </c>
      <c r="F82" s="1" t="s">
        <v>340</v>
      </c>
      <c r="G82" s="5">
        <v>568</v>
      </c>
      <c r="H82" s="3" t="s">
        <v>12</v>
      </c>
    </row>
    <row r="83" spans="1:8" x14ac:dyDescent="0.3">
      <c r="A83" s="2">
        <v>46071</v>
      </c>
      <c r="B83" s="1" t="s">
        <v>258</v>
      </c>
      <c r="C83" s="1" t="s">
        <v>30</v>
      </c>
      <c r="D83" s="1" t="s">
        <v>9</v>
      </c>
      <c r="E83" s="1" t="s">
        <v>28</v>
      </c>
      <c r="F83" s="1" t="s">
        <v>341</v>
      </c>
      <c r="G83" s="5">
        <v>300</v>
      </c>
      <c r="H83" s="3" t="s">
        <v>12</v>
      </c>
    </row>
    <row r="84" spans="1:8" x14ac:dyDescent="0.3">
      <c r="A84" s="2">
        <v>46070</v>
      </c>
      <c r="B84" s="1" t="s">
        <v>29</v>
      </c>
      <c r="C84" s="1" t="s">
        <v>8</v>
      </c>
      <c r="D84" s="1" t="s">
        <v>9</v>
      </c>
      <c r="E84" s="1" t="s">
        <v>10</v>
      </c>
      <c r="F84" s="1" t="s">
        <v>342</v>
      </c>
      <c r="G84" s="5">
        <v>5905.5</v>
      </c>
      <c r="H84" s="3" t="s">
        <v>12</v>
      </c>
    </row>
    <row r="85" spans="1:8" x14ac:dyDescent="0.3">
      <c r="A85" s="2">
        <v>46070</v>
      </c>
      <c r="B85" s="1" t="s">
        <v>34</v>
      </c>
      <c r="C85" s="1" t="s">
        <v>8</v>
      </c>
      <c r="D85" s="1" t="s">
        <v>9</v>
      </c>
      <c r="E85" s="1" t="s">
        <v>10</v>
      </c>
      <c r="F85" s="1" t="s">
        <v>343</v>
      </c>
      <c r="G85" s="5">
        <v>7301.5</v>
      </c>
      <c r="H85" s="3" t="s">
        <v>12</v>
      </c>
    </row>
    <row r="86" spans="1:8" x14ac:dyDescent="0.3">
      <c r="A86" s="2">
        <v>46070</v>
      </c>
      <c r="B86" s="1" t="s">
        <v>34</v>
      </c>
      <c r="C86" s="1" t="s">
        <v>8</v>
      </c>
      <c r="D86" s="1" t="s">
        <v>9</v>
      </c>
      <c r="E86" s="1" t="s">
        <v>10</v>
      </c>
      <c r="F86" s="1" t="s">
        <v>344</v>
      </c>
      <c r="G86" s="5">
        <v>718.57</v>
      </c>
      <c r="H86" s="3" t="s">
        <v>12</v>
      </c>
    </row>
    <row r="87" spans="1:8" x14ac:dyDescent="0.3">
      <c r="A87" s="2">
        <v>46070</v>
      </c>
      <c r="B87" s="1" t="s">
        <v>50</v>
      </c>
      <c r="C87" s="1" t="s">
        <v>30</v>
      </c>
      <c r="D87" s="1" t="s">
        <v>9</v>
      </c>
      <c r="E87" s="1" t="s">
        <v>28</v>
      </c>
      <c r="F87" s="1" t="s">
        <v>345</v>
      </c>
      <c r="G87" s="5">
        <v>80</v>
      </c>
      <c r="H87" s="3" t="s">
        <v>12</v>
      </c>
    </row>
    <row r="88" spans="1:8" x14ac:dyDescent="0.3">
      <c r="A88" s="2">
        <v>46070</v>
      </c>
      <c r="B88" s="1" t="s">
        <v>62</v>
      </c>
      <c r="C88" s="1" t="s">
        <v>8</v>
      </c>
      <c r="D88" s="1" t="s">
        <v>9</v>
      </c>
      <c r="E88" s="1" t="s">
        <v>10</v>
      </c>
      <c r="F88" s="1" t="s">
        <v>346</v>
      </c>
      <c r="G88" s="5">
        <v>561</v>
      </c>
      <c r="H88" s="3" t="s">
        <v>12</v>
      </c>
    </row>
    <row r="89" spans="1:8" x14ac:dyDescent="0.3">
      <c r="A89" s="2">
        <v>46070</v>
      </c>
      <c r="B89" s="1" t="s">
        <v>62</v>
      </c>
      <c r="C89" s="1" t="s">
        <v>8</v>
      </c>
      <c r="D89" s="1" t="s">
        <v>9</v>
      </c>
      <c r="E89" s="1" t="s">
        <v>10</v>
      </c>
      <c r="F89" s="1" t="s">
        <v>347</v>
      </c>
      <c r="G89" s="5">
        <v>706</v>
      </c>
      <c r="H89" s="3" t="s">
        <v>12</v>
      </c>
    </row>
    <row r="90" spans="1:8" x14ac:dyDescent="0.3">
      <c r="A90" s="2">
        <v>46070</v>
      </c>
      <c r="B90" s="1" t="s">
        <v>53</v>
      </c>
      <c r="C90" s="1" t="s">
        <v>20</v>
      </c>
      <c r="D90" s="1" t="s">
        <v>9</v>
      </c>
      <c r="E90" s="1" t="s">
        <v>10</v>
      </c>
      <c r="F90" s="1" t="s">
        <v>348</v>
      </c>
      <c r="G90" s="5">
        <v>1201.04</v>
      </c>
      <c r="H90" s="3" t="s">
        <v>12</v>
      </c>
    </row>
    <row r="91" spans="1:8" x14ac:dyDescent="0.3">
      <c r="A91" s="2">
        <v>46069</v>
      </c>
      <c r="B91" s="1" t="s">
        <v>34</v>
      </c>
      <c r="C91" s="1" t="s">
        <v>8</v>
      </c>
      <c r="D91" s="1" t="s">
        <v>9</v>
      </c>
      <c r="E91" s="1" t="s">
        <v>10</v>
      </c>
      <c r="F91" s="1" t="s">
        <v>349</v>
      </c>
      <c r="G91" s="5">
        <v>884.17</v>
      </c>
      <c r="H91" s="3" t="s">
        <v>12</v>
      </c>
    </row>
    <row r="92" spans="1:8" x14ac:dyDescent="0.3">
      <c r="A92" s="2">
        <v>46069</v>
      </c>
      <c r="B92" s="1" t="s">
        <v>34</v>
      </c>
      <c r="C92" s="1" t="s">
        <v>8</v>
      </c>
      <c r="D92" s="1" t="s">
        <v>9</v>
      </c>
      <c r="E92" s="1" t="s">
        <v>10</v>
      </c>
      <c r="F92" s="1" t="s">
        <v>350</v>
      </c>
      <c r="G92" s="5">
        <v>1210.44</v>
      </c>
      <c r="H92" s="3" t="s">
        <v>12</v>
      </c>
    </row>
    <row r="93" spans="1:8" x14ac:dyDescent="0.3">
      <c r="A93" s="2">
        <v>46069</v>
      </c>
      <c r="B93" s="1" t="s">
        <v>34</v>
      </c>
      <c r="C93" s="1" t="s">
        <v>8</v>
      </c>
      <c r="D93" s="1" t="s">
        <v>9</v>
      </c>
      <c r="E93" s="1" t="s">
        <v>10</v>
      </c>
      <c r="F93" s="1" t="s">
        <v>351</v>
      </c>
      <c r="G93" s="5">
        <v>500</v>
      </c>
      <c r="H93" s="3" t="s">
        <v>12</v>
      </c>
    </row>
    <row r="94" spans="1:8" x14ac:dyDescent="0.3">
      <c r="A94" s="2">
        <v>46069</v>
      </c>
      <c r="B94" s="1" t="s">
        <v>135</v>
      </c>
      <c r="C94" s="1" t="s">
        <v>8</v>
      </c>
      <c r="D94" s="1" t="s">
        <v>9</v>
      </c>
      <c r="E94" s="1" t="s">
        <v>10</v>
      </c>
      <c r="F94" s="1" t="s">
        <v>352</v>
      </c>
      <c r="G94" s="5">
        <v>46822.61</v>
      </c>
      <c r="H94" s="3" t="s">
        <v>12</v>
      </c>
    </row>
    <row r="95" spans="1:8" x14ac:dyDescent="0.3">
      <c r="A95" s="2">
        <v>46069</v>
      </c>
      <c r="B95" s="1" t="s">
        <v>34</v>
      </c>
      <c r="C95" s="1" t="s">
        <v>8</v>
      </c>
      <c r="D95" s="1" t="s">
        <v>9</v>
      </c>
      <c r="E95" s="1" t="s">
        <v>10</v>
      </c>
      <c r="F95" s="1" t="s">
        <v>353</v>
      </c>
      <c r="G95" s="5">
        <v>949.19</v>
      </c>
      <c r="H95" s="3" t="s">
        <v>12</v>
      </c>
    </row>
    <row r="96" spans="1:8" x14ac:dyDescent="0.3">
      <c r="A96" s="2">
        <v>46069</v>
      </c>
      <c r="B96" s="1" t="s">
        <v>180</v>
      </c>
      <c r="C96" s="1" t="s">
        <v>20</v>
      </c>
      <c r="D96" s="1" t="s">
        <v>9</v>
      </c>
      <c r="E96" s="1" t="s">
        <v>10</v>
      </c>
      <c r="F96" s="1" t="s">
        <v>354</v>
      </c>
      <c r="G96" s="5">
        <v>424.44</v>
      </c>
      <c r="H96" s="3" t="s">
        <v>12</v>
      </c>
    </row>
    <row r="97" spans="1:8" x14ac:dyDescent="0.3">
      <c r="A97" s="2">
        <v>46069</v>
      </c>
      <c r="B97" s="1" t="s">
        <v>163</v>
      </c>
      <c r="C97" s="1" t="s">
        <v>8</v>
      </c>
      <c r="D97" s="1" t="s">
        <v>9</v>
      </c>
      <c r="E97" s="1" t="s">
        <v>10</v>
      </c>
      <c r="F97" s="1" t="s">
        <v>355</v>
      </c>
      <c r="G97" s="5">
        <v>438</v>
      </c>
      <c r="H97" s="3" t="s">
        <v>12</v>
      </c>
    </row>
    <row r="98" spans="1:8" x14ac:dyDescent="0.3">
      <c r="A98" s="2">
        <v>46069</v>
      </c>
      <c r="B98" s="1" t="s">
        <v>81</v>
      </c>
      <c r="C98" s="1" t="s">
        <v>8</v>
      </c>
      <c r="D98" s="1" t="s">
        <v>9</v>
      </c>
      <c r="E98" s="1" t="s">
        <v>10</v>
      </c>
      <c r="F98" s="1" t="s">
        <v>356</v>
      </c>
      <c r="G98" s="5">
        <v>508</v>
      </c>
      <c r="H98" s="3" t="s">
        <v>12</v>
      </c>
    </row>
    <row r="99" spans="1:8" x14ac:dyDescent="0.3">
      <c r="A99" s="2">
        <v>46069</v>
      </c>
      <c r="B99" s="1" t="s">
        <v>81</v>
      </c>
      <c r="C99" s="1" t="s">
        <v>8</v>
      </c>
      <c r="D99" s="1" t="s">
        <v>9</v>
      </c>
      <c r="E99" s="1" t="s">
        <v>10</v>
      </c>
      <c r="F99" s="1" t="s">
        <v>357</v>
      </c>
      <c r="G99" s="5">
        <v>98</v>
      </c>
      <c r="H99" s="3" t="s">
        <v>12</v>
      </c>
    </row>
    <row r="100" spans="1:8" x14ac:dyDescent="0.3">
      <c r="A100" s="2">
        <v>46069</v>
      </c>
      <c r="B100" s="1" t="s">
        <v>62</v>
      </c>
      <c r="C100" s="1" t="s">
        <v>8</v>
      </c>
      <c r="D100" s="1" t="s">
        <v>9</v>
      </c>
      <c r="E100" s="1" t="s">
        <v>10</v>
      </c>
      <c r="F100" s="1" t="s">
        <v>358</v>
      </c>
      <c r="G100" s="5">
        <v>7000.24</v>
      </c>
      <c r="H100" s="3" t="s">
        <v>12</v>
      </c>
    </row>
    <row r="101" spans="1:8" x14ac:dyDescent="0.3">
      <c r="A101" s="2">
        <v>46067</v>
      </c>
      <c r="B101" s="1" t="s">
        <v>50</v>
      </c>
      <c r="C101" s="1" t="s">
        <v>30</v>
      </c>
      <c r="D101" s="1" t="s">
        <v>9</v>
      </c>
      <c r="E101" s="1" t="s">
        <v>28</v>
      </c>
      <c r="F101" s="1" t="s">
        <v>359</v>
      </c>
      <c r="G101" s="5">
        <v>580</v>
      </c>
      <c r="H101" s="3" t="s">
        <v>12</v>
      </c>
    </row>
    <row r="102" spans="1:8" x14ac:dyDescent="0.3">
      <c r="A102" s="2">
        <v>46067</v>
      </c>
      <c r="B102" s="1" t="s">
        <v>163</v>
      </c>
      <c r="C102" s="1" t="s">
        <v>8</v>
      </c>
      <c r="D102" s="1" t="s">
        <v>9</v>
      </c>
      <c r="E102" s="1" t="s">
        <v>10</v>
      </c>
      <c r="F102" s="1" t="s">
        <v>360</v>
      </c>
      <c r="G102" s="5">
        <v>8387.44</v>
      </c>
      <c r="H102" s="3" t="s">
        <v>12</v>
      </c>
    </row>
    <row r="103" spans="1:8" x14ac:dyDescent="0.3">
      <c r="A103" s="2">
        <v>46066</v>
      </c>
      <c r="B103" s="1" t="s">
        <v>81</v>
      </c>
      <c r="C103" s="1" t="s">
        <v>30</v>
      </c>
      <c r="D103" s="1" t="s">
        <v>9</v>
      </c>
      <c r="E103" s="1" t="s">
        <v>10</v>
      </c>
      <c r="F103" s="1" t="s">
        <v>361</v>
      </c>
      <c r="G103" s="5">
        <v>350</v>
      </c>
      <c r="H103" s="3" t="s">
        <v>12</v>
      </c>
    </row>
    <row r="104" spans="1:8" x14ac:dyDescent="0.3">
      <c r="A104" s="2">
        <v>46066</v>
      </c>
      <c r="B104" s="1" t="s">
        <v>34</v>
      </c>
      <c r="C104" s="1" t="s">
        <v>8</v>
      </c>
      <c r="D104" s="1" t="s">
        <v>9</v>
      </c>
      <c r="E104" s="1" t="s">
        <v>10</v>
      </c>
      <c r="F104" s="1" t="s">
        <v>362</v>
      </c>
      <c r="G104" s="5">
        <v>679.94</v>
      </c>
      <c r="H104" s="3" t="s">
        <v>12</v>
      </c>
    </row>
    <row r="105" spans="1:8" x14ac:dyDescent="0.3">
      <c r="A105" s="2">
        <v>46066</v>
      </c>
      <c r="B105" s="1" t="s">
        <v>25</v>
      </c>
      <c r="C105" s="1" t="s">
        <v>20</v>
      </c>
      <c r="D105" s="1" t="s">
        <v>9</v>
      </c>
      <c r="E105" s="1" t="s">
        <v>26</v>
      </c>
      <c r="F105" s="1" t="s">
        <v>363</v>
      </c>
      <c r="G105" s="5">
        <v>164742.84</v>
      </c>
      <c r="H105" s="3" t="s">
        <v>12</v>
      </c>
    </row>
    <row r="106" spans="1:8" x14ac:dyDescent="0.3">
      <c r="A106" s="2">
        <v>46066</v>
      </c>
      <c r="B106" s="1" t="s">
        <v>25</v>
      </c>
      <c r="C106" s="1" t="s">
        <v>20</v>
      </c>
      <c r="D106" s="1" t="s">
        <v>9</v>
      </c>
      <c r="E106" s="1" t="s">
        <v>28</v>
      </c>
      <c r="F106" s="1" t="s">
        <v>364</v>
      </c>
      <c r="G106" s="5">
        <v>10980.07</v>
      </c>
      <c r="H106" s="3" t="s">
        <v>12</v>
      </c>
    </row>
    <row r="107" spans="1:8" x14ac:dyDescent="0.3">
      <c r="A107" s="2">
        <v>46066</v>
      </c>
      <c r="B107" s="1" t="s">
        <v>163</v>
      </c>
      <c r="C107" s="1" t="s">
        <v>8</v>
      </c>
      <c r="D107" s="1" t="s">
        <v>9</v>
      </c>
      <c r="E107" s="1" t="s">
        <v>10</v>
      </c>
      <c r="F107" s="1" t="s">
        <v>365</v>
      </c>
      <c r="G107" s="5">
        <v>36</v>
      </c>
      <c r="H107" s="3" t="s">
        <v>12</v>
      </c>
    </row>
    <row r="108" spans="1:8" x14ac:dyDescent="0.3">
      <c r="A108" s="2">
        <v>46066</v>
      </c>
      <c r="B108" s="1" t="s">
        <v>15</v>
      </c>
      <c r="C108" s="1" t="s">
        <v>8</v>
      </c>
      <c r="D108" s="1" t="s">
        <v>9</v>
      </c>
      <c r="E108" s="1" t="s">
        <v>10</v>
      </c>
      <c r="F108" s="1" t="s">
        <v>366</v>
      </c>
      <c r="G108" s="5">
        <v>774.07</v>
      </c>
      <c r="H108" s="3" t="s">
        <v>12</v>
      </c>
    </row>
    <row r="109" spans="1:8" x14ac:dyDescent="0.3">
      <c r="A109" s="2">
        <v>46066</v>
      </c>
      <c r="B109" s="1" t="s">
        <v>15</v>
      </c>
      <c r="C109" s="1" t="s">
        <v>8</v>
      </c>
      <c r="D109" s="1" t="s">
        <v>9</v>
      </c>
      <c r="E109" s="1" t="s">
        <v>10</v>
      </c>
      <c r="F109" s="1" t="s">
        <v>367</v>
      </c>
      <c r="G109" s="5">
        <v>516.04999999999995</v>
      </c>
      <c r="H109" s="3" t="s">
        <v>12</v>
      </c>
    </row>
    <row r="110" spans="1:8" x14ac:dyDescent="0.3">
      <c r="A110" s="2">
        <v>46066</v>
      </c>
      <c r="B110" s="1" t="s">
        <v>17</v>
      </c>
      <c r="C110" s="1" t="s">
        <v>20</v>
      </c>
      <c r="D110" s="1" t="s">
        <v>9</v>
      </c>
      <c r="E110" s="1" t="s">
        <v>10</v>
      </c>
      <c r="F110" s="1" t="s">
        <v>368</v>
      </c>
      <c r="G110" s="5">
        <v>327.76</v>
      </c>
      <c r="H110" s="3" t="s">
        <v>12</v>
      </c>
    </row>
    <row r="111" spans="1:8" x14ac:dyDescent="0.3">
      <c r="A111" s="2">
        <v>46066</v>
      </c>
      <c r="B111" s="1" t="s">
        <v>45</v>
      </c>
      <c r="C111" s="1" t="s">
        <v>20</v>
      </c>
      <c r="D111" s="1" t="s">
        <v>9</v>
      </c>
      <c r="E111" s="1" t="s">
        <v>10</v>
      </c>
      <c r="F111" s="1" t="s">
        <v>369</v>
      </c>
      <c r="G111" s="5">
        <v>119</v>
      </c>
      <c r="H111" s="3" t="s">
        <v>12</v>
      </c>
    </row>
    <row r="112" spans="1:8" x14ac:dyDescent="0.3">
      <c r="A112" s="2">
        <v>46066</v>
      </c>
      <c r="B112" s="1" t="s">
        <v>370</v>
      </c>
      <c r="C112" s="1" t="s">
        <v>43</v>
      </c>
      <c r="D112" s="1" t="s">
        <v>9</v>
      </c>
      <c r="E112" s="1" t="s">
        <v>10</v>
      </c>
      <c r="F112" s="1" t="s">
        <v>371</v>
      </c>
      <c r="G112" s="5">
        <v>21935</v>
      </c>
      <c r="H112" s="3" t="s">
        <v>12</v>
      </c>
    </row>
    <row r="113" spans="1:8" x14ac:dyDescent="0.3">
      <c r="A113" s="2">
        <v>46066</v>
      </c>
      <c r="B113" s="1" t="s">
        <v>15</v>
      </c>
      <c r="C113" s="1" t="s">
        <v>20</v>
      </c>
      <c r="D113" s="1" t="s">
        <v>9</v>
      </c>
      <c r="E113" s="1" t="s">
        <v>10</v>
      </c>
      <c r="F113" s="1" t="s">
        <v>372</v>
      </c>
      <c r="G113" s="5">
        <v>1827</v>
      </c>
      <c r="H113" s="3" t="s">
        <v>12</v>
      </c>
    </row>
    <row r="114" spans="1:8" x14ac:dyDescent="0.3">
      <c r="A114" s="2">
        <v>46066</v>
      </c>
      <c r="B114" s="1" t="s">
        <v>15</v>
      </c>
      <c r="C114" s="1" t="s">
        <v>8</v>
      </c>
      <c r="D114" s="1" t="s">
        <v>9</v>
      </c>
      <c r="E114" s="1" t="s">
        <v>10</v>
      </c>
      <c r="F114" s="1" t="s">
        <v>373</v>
      </c>
      <c r="G114" s="5">
        <v>2193.8200000000002</v>
      </c>
      <c r="H114" s="3" t="s">
        <v>12</v>
      </c>
    </row>
    <row r="115" spans="1:8" x14ac:dyDescent="0.3">
      <c r="A115" s="2">
        <v>46065</v>
      </c>
      <c r="B115" s="1" t="s">
        <v>70</v>
      </c>
      <c r="C115" s="1" t="s">
        <v>20</v>
      </c>
      <c r="D115" s="1" t="s">
        <v>9</v>
      </c>
      <c r="E115" s="1" t="s">
        <v>28</v>
      </c>
      <c r="F115" s="1" t="s">
        <v>374</v>
      </c>
      <c r="G115" s="5">
        <v>29240.71</v>
      </c>
      <c r="H115" s="3" t="s">
        <v>12</v>
      </c>
    </row>
    <row r="116" spans="1:8" x14ac:dyDescent="0.3">
      <c r="A116" s="2">
        <v>46065</v>
      </c>
      <c r="B116" s="1" t="s">
        <v>258</v>
      </c>
      <c r="C116" s="1" t="s">
        <v>8</v>
      </c>
      <c r="D116" s="1" t="s">
        <v>9</v>
      </c>
      <c r="E116" s="1" t="s">
        <v>28</v>
      </c>
      <c r="F116" s="1" t="s">
        <v>375</v>
      </c>
      <c r="G116" s="5">
        <v>1500</v>
      </c>
      <c r="H116" s="3" t="s">
        <v>12</v>
      </c>
    </row>
    <row r="117" spans="1:8" x14ac:dyDescent="0.3">
      <c r="A117" s="2">
        <v>46065</v>
      </c>
      <c r="B117" s="1" t="s">
        <v>258</v>
      </c>
      <c r="C117" s="1" t="s">
        <v>8</v>
      </c>
      <c r="D117" s="1" t="s">
        <v>9</v>
      </c>
      <c r="E117" s="1" t="s">
        <v>28</v>
      </c>
      <c r="F117" s="1" t="s">
        <v>376</v>
      </c>
      <c r="G117" s="5">
        <v>92</v>
      </c>
      <c r="H117" s="3" t="s">
        <v>12</v>
      </c>
    </row>
    <row r="118" spans="1:8" x14ac:dyDescent="0.3">
      <c r="A118" s="2">
        <v>46065</v>
      </c>
      <c r="B118" s="1" t="s">
        <v>7</v>
      </c>
      <c r="C118" s="1" t="s">
        <v>8</v>
      </c>
      <c r="D118" s="1" t="s">
        <v>9</v>
      </c>
      <c r="E118" s="1" t="s">
        <v>10</v>
      </c>
      <c r="F118" s="1" t="s">
        <v>377</v>
      </c>
      <c r="G118" s="5">
        <v>3974.91</v>
      </c>
      <c r="H118" s="3" t="s">
        <v>12</v>
      </c>
    </row>
    <row r="119" spans="1:8" x14ac:dyDescent="0.3">
      <c r="A119" s="2">
        <v>46064</v>
      </c>
      <c r="B119" s="1" t="s">
        <v>34</v>
      </c>
      <c r="C119" s="1" t="s">
        <v>8</v>
      </c>
      <c r="D119" s="1" t="s">
        <v>9</v>
      </c>
      <c r="E119" s="1" t="s">
        <v>10</v>
      </c>
      <c r="F119" s="1" t="s">
        <v>378</v>
      </c>
      <c r="G119" s="5">
        <v>763.19</v>
      </c>
      <c r="H119" s="3" t="s">
        <v>12</v>
      </c>
    </row>
    <row r="120" spans="1:8" x14ac:dyDescent="0.3">
      <c r="A120" s="2">
        <v>46064</v>
      </c>
      <c r="B120" s="1" t="s">
        <v>62</v>
      </c>
      <c r="C120" s="1" t="s">
        <v>8</v>
      </c>
      <c r="D120" s="1" t="s">
        <v>9</v>
      </c>
      <c r="E120" s="1" t="s">
        <v>10</v>
      </c>
      <c r="F120" s="1" t="s">
        <v>379</v>
      </c>
      <c r="G120" s="5">
        <v>621.48</v>
      </c>
      <c r="H120" s="3" t="s">
        <v>12</v>
      </c>
    </row>
    <row r="121" spans="1:8" x14ac:dyDescent="0.3">
      <c r="A121" s="2">
        <v>46064</v>
      </c>
      <c r="B121" s="1" t="s">
        <v>45</v>
      </c>
      <c r="C121" s="1" t="s">
        <v>20</v>
      </c>
      <c r="D121" s="1" t="s">
        <v>9</v>
      </c>
      <c r="E121" s="1" t="s">
        <v>10</v>
      </c>
      <c r="F121" s="1" t="s">
        <v>380</v>
      </c>
      <c r="G121" s="5">
        <v>8908.82</v>
      </c>
      <c r="H121" s="3" t="s">
        <v>12</v>
      </c>
    </row>
    <row r="122" spans="1:8" x14ac:dyDescent="0.3">
      <c r="A122" s="2">
        <v>46064</v>
      </c>
      <c r="B122" s="1" t="s">
        <v>258</v>
      </c>
      <c r="C122" s="1" t="s">
        <v>30</v>
      </c>
      <c r="D122" s="1" t="s">
        <v>9</v>
      </c>
      <c r="E122" s="1" t="s">
        <v>28</v>
      </c>
      <c r="F122" s="1" t="s">
        <v>381</v>
      </c>
      <c r="G122" s="5">
        <v>182</v>
      </c>
      <c r="H122" s="3" t="s">
        <v>12</v>
      </c>
    </row>
    <row r="123" spans="1:8" x14ac:dyDescent="0.3">
      <c r="A123" s="2">
        <v>46064</v>
      </c>
      <c r="B123" s="1" t="s">
        <v>258</v>
      </c>
      <c r="C123" s="1" t="s">
        <v>30</v>
      </c>
      <c r="D123" s="1" t="s">
        <v>9</v>
      </c>
      <c r="E123" s="1" t="s">
        <v>28</v>
      </c>
      <c r="F123" s="1" t="s">
        <v>382</v>
      </c>
      <c r="G123" s="5">
        <v>48</v>
      </c>
      <c r="H123" s="3" t="s">
        <v>12</v>
      </c>
    </row>
    <row r="124" spans="1:8" x14ac:dyDescent="0.3">
      <c r="A124" s="2">
        <v>46064</v>
      </c>
      <c r="B124" s="1" t="s">
        <v>258</v>
      </c>
      <c r="C124" s="1" t="s">
        <v>8</v>
      </c>
      <c r="D124" s="1" t="s">
        <v>23</v>
      </c>
      <c r="E124" s="1" t="s">
        <v>28</v>
      </c>
      <c r="F124" s="1" t="s">
        <v>383</v>
      </c>
      <c r="G124" s="5">
        <v>945.92</v>
      </c>
      <c r="H124" s="3" t="s">
        <v>12</v>
      </c>
    </row>
    <row r="125" spans="1:8" x14ac:dyDescent="0.3">
      <c r="A125" s="2">
        <v>46064</v>
      </c>
      <c r="B125" s="1" t="s">
        <v>19</v>
      </c>
      <c r="C125" s="1" t="s">
        <v>8</v>
      </c>
      <c r="D125" s="1" t="s">
        <v>9</v>
      </c>
      <c r="E125" s="1" t="s">
        <v>10</v>
      </c>
      <c r="F125" s="1" t="s">
        <v>384</v>
      </c>
      <c r="G125" s="5">
        <v>1499</v>
      </c>
      <c r="H125" s="3" t="s">
        <v>12</v>
      </c>
    </row>
    <row r="126" spans="1:8" x14ac:dyDescent="0.3">
      <c r="A126" s="2">
        <v>46064</v>
      </c>
      <c r="B126" s="1" t="s">
        <v>13</v>
      </c>
      <c r="C126" s="1" t="s">
        <v>102</v>
      </c>
      <c r="D126" s="1" t="s">
        <v>9</v>
      </c>
      <c r="E126" s="1" t="s">
        <v>10</v>
      </c>
      <c r="F126" s="1" t="s">
        <v>385</v>
      </c>
      <c r="G126" s="5">
        <v>300</v>
      </c>
      <c r="H126" s="3" t="s">
        <v>12</v>
      </c>
    </row>
    <row r="127" spans="1:8" x14ac:dyDescent="0.3">
      <c r="A127" s="2">
        <v>46064</v>
      </c>
      <c r="B127" s="1" t="s">
        <v>258</v>
      </c>
      <c r="C127" s="1" t="s">
        <v>30</v>
      </c>
      <c r="D127" s="1" t="s">
        <v>9</v>
      </c>
      <c r="E127" s="1" t="s">
        <v>28</v>
      </c>
      <c r="F127" s="1" t="s">
        <v>386</v>
      </c>
      <c r="G127" s="5">
        <v>250</v>
      </c>
      <c r="H127" s="3" t="s">
        <v>12</v>
      </c>
    </row>
    <row r="128" spans="1:8" x14ac:dyDescent="0.3">
      <c r="A128" s="2">
        <v>46063</v>
      </c>
      <c r="B128" s="1" t="s">
        <v>81</v>
      </c>
      <c r="C128" s="1" t="s">
        <v>30</v>
      </c>
      <c r="D128" s="1" t="s">
        <v>9</v>
      </c>
      <c r="E128" s="1" t="s">
        <v>10</v>
      </c>
      <c r="F128" s="1" t="s">
        <v>387</v>
      </c>
      <c r="G128" s="5">
        <v>690</v>
      </c>
      <c r="H128" s="3" t="s">
        <v>12</v>
      </c>
    </row>
    <row r="129" spans="1:8" x14ac:dyDescent="0.3">
      <c r="A129" s="2">
        <v>46063</v>
      </c>
      <c r="B129" s="1" t="s">
        <v>34</v>
      </c>
      <c r="C129" s="1" t="s">
        <v>8</v>
      </c>
      <c r="D129" s="1" t="s">
        <v>9</v>
      </c>
      <c r="E129" s="1" t="s">
        <v>10</v>
      </c>
      <c r="F129" s="1" t="s">
        <v>388</v>
      </c>
      <c r="G129" s="5">
        <v>1073.32</v>
      </c>
      <c r="H129" s="3" t="s">
        <v>12</v>
      </c>
    </row>
    <row r="130" spans="1:8" x14ac:dyDescent="0.3">
      <c r="A130" s="2">
        <v>46063</v>
      </c>
      <c r="B130" s="1" t="s">
        <v>34</v>
      </c>
      <c r="C130" s="1" t="s">
        <v>8</v>
      </c>
      <c r="D130" s="1" t="s">
        <v>9</v>
      </c>
      <c r="E130" s="1" t="s">
        <v>10</v>
      </c>
      <c r="F130" s="1" t="s">
        <v>389</v>
      </c>
      <c r="G130" s="5">
        <v>658.05</v>
      </c>
      <c r="H130" s="3" t="s">
        <v>12</v>
      </c>
    </row>
    <row r="131" spans="1:8" x14ac:dyDescent="0.3">
      <c r="A131" s="2">
        <v>46063</v>
      </c>
      <c r="B131" s="1" t="s">
        <v>79</v>
      </c>
      <c r="C131" s="1" t="s">
        <v>8</v>
      </c>
      <c r="D131" s="1" t="s">
        <v>9</v>
      </c>
      <c r="E131" s="1" t="s">
        <v>10</v>
      </c>
      <c r="F131" s="1" t="s">
        <v>390</v>
      </c>
      <c r="G131" s="5">
        <v>125</v>
      </c>
      <c r="H131" s="3" t="s">
        <v>12</v>
      </c>
    </row>
    <row r="132" spans="1:8" x14ac:dyDescent="0.3">
      <c r="A132" s="2">
        <v>46063</v>
      </c>
      <c r="B132" s="1" t="s">
        <v>34</v>
      </c>
      <c r="C132" s="1" t="s">
        <v>8</v>
      </c>
      <c r="D132" s="1" t="s">
        <v>9</v>
      </c>
      <c r="E132" s="1" t="s">
        <v>10</v>
      </c>
      <c r="F132" s="1" t="s">
        <v>391</v>
      </c>
      <c r="G132" s="5">
        <v>1201.93</v>
      </c>
      <c r="H132" s="3" t="s">
        <v>12</v>
      </c>
    </row>
    <row r="133" spans="1:8" x14ac:dyDescent="0.3">
      <c r="A133" s="2">
        <v>46063</v>
      </c>
      <c r="B133" s="1" t="s">
        <v>34</v>
      </c>
      <c r="C133" s="1" t="s">
        <v>8</v>
      </c>
      <c r="D133" s="1" t="s">
        <v>9</v>
      </c>
      <c r="E133" s="1" t="s">
        <v>10</v>
      </c>
      <c r="F133" s="1" t="s">
        <v>392</v>
      </c>
      <c r="G133" s="5">
        <v>660.02</v>
      </c>
      <c r="H133" s="3" t="s">
        <v>12</v>
      </c>
    </row>
    <row r="134" spans="1:8" x14ac:dyDescent="0.3">
      <c r="A134" s="2">
        <v>46063</v>
      </c>
      <c r="B134" s="1" t="s">
        <v>34</v>
      </c>
      <c r="C134" s="1" t="s">
        <v>8</v>
      </c>
      <c r="D134" s="1" t="s">
        <v>9</v>
      </c>
      <c r="E134" s="1" t="s">
        <v>10</v>
      </c>
      <c r="F134" s="1" t="s">
        <v>393</v>
      </c>
      <c r="G134" s="5">
        <v>1417.96</v>
      </c>
      <c r="H134" s="3" t="s">
        <v>12</v>
      </c>
    </row>
    <row r="135" spans="1:8" x14ac:dyDescent="0.3">
      <c r="A135" s="2">
        <v>46062</v>
      </c>
      <c r="B135" s="1" t="s">
        <v>19</v>
      </c>
      <c r="C135" s="1" t="s">
        <v>8</v>
      </c>
      <c r="D135" s="1" t="s">
        <v>9</v>
      </c>
      <c r="E135" s="1" t="s">
        <v>215</v>
      </c>
      <c r="F135" s="1" t="s">
        <v>394</v>
      </c>
      <c r="G135" s="5">
        <v>2999</v>
      </c>
      <c r="H135" s="3" t="s">
        <v>12</v>
      </c>
    </row>
    <row r="136" spans="1:8" x14ac:dyDescent="0.3">
      <c r="A136" s="2">
        <v>46062</v>
      </c>
      <c r="B136" s="1" t="s">
        <v>13</v>
      </c>
      <c r="C136" s="1" t="s">
        <v>8</v>
      </c>
      <c r="D136" s="1" t="s">
        <v>9</v>
      </c>
      <c r="E136" s="1" t="s">
        <v>10</v>
      </c>
      <c r="F136" s="1" t="s">
        <v>395</v>
      </c>
      <c r="G136" s="5">
        <v>6169</v>
      </c>
      <c r="H136" s="3" t="s">
        <v>12</v>
      </c>
    </row>
    <row r="137" spans="1:8" x14ac:dyDescent="0.3">
      <c r="A137" s="2">
        <v>46062</v>
      </c>
      <c r="B137" s="1" t="s">
        <v>34</v>
      </c>
      <c r="C137" s="1" t="s">
        <v>8</v>
      </c>
      <c r="D137" s="1" t="s">
        <v>9</v>
      </c>
      <c r="E137" s="1" t="s">
        <v>10</v>
      </c>
      <c r="F137" s="1" t="s">
        <v>396</v>
      </c>
      <c r="G137" s="5">
        <v>714.52</v>
      </c>
      <c r="H137" s="3" t="s">
        <v>12</v>
      </c>
    </row>
    <row r="138" spans="1:8" x14ac:dyDescent="0.3">
      <c r="A138" s="2">
        <v>46062</v>
      </c>
      <c r="B138" s="1" t="s">
        <v>15</v>
      </c>
      <c r="C138" s="1" t="s">
        <v>8</v>
      </c>
      <c r="D138" s="1" t="s">
        <v>9</v>
      </c>
      <c r="E138" s="1" t="s">
        <v>10</v>
      </c>
      <c r="F138" s="1" t="s">
        <v>397</v>
      </c>
      <c r="G138" s="5">
        <v>1583.25</v>
      </c>
      <c r="H138" s="3" t="s">
        <v>12</v>
      </c>
    </row>
    <row r="139" spans="1:8" x14ac:dyDescent="0.3">
      <c r="A139" s="2">
        <v>46062</v>
      </c>
      <c r="B139" s="1" t="s">
        <v>15</v>
      </c>
      <c r="C139" s="1" t="s">
        <v>8</v>
      </c>
      <c r="D139" s="1" t="s">
        <v>9</v>
      </c>
      <c r="E139" s="1" t="s">
        <v>10</v>
      </c>
      <c r="F139" s="1" t="s">
        <v>398</v>
      </c>
      <c r="G139" s="5">
        <v>1257.21</v>
      </c>
      <c r="H139" s="3" t="s">
        <v>12</v>
      </c>
    </row>
    <row r="140" spans="1:8" x14ac:dyDescent="0.3">
      <c r="A140" s="2">
        <v>46062</v>
      </c>
      <c r="B140" s="1" t="s">
        <v>34</v>
      </c>
      <c r="C140" s="1" t="s">
        <v>8</v>
      </c>
      <c r="D140" s="1" t="s">
        <v>9</v>
      </c>
      <c r="E140" s="1" t="s">
        <v>10</v>
      </c>
      <c r="F140" s="1" t="s">
        <v>399</v>
      </c>
      <c r="G140" s="5">
        <v>1343.27</v>
      </c>
      <c r="H140" s="3" t="s">
        <v>12</v>
      </c>
    </row>
    <row r="141" spans="1:8" x14ac:dyDescent="0.3">
      <c r="A141" s="2">
        <v>46062</v>
      </c>
      <c r="B141" s="1" t="s">
        <v>29</v>
      </c>
      <c r="C141" s="1" t="s">
        <v>8</v>
      </c>
      <c r="D141" s="1" t="s">
        <v>9</v>
      </c>
      <c r="E141" s="1" t="s">
        <v>10</v>
      </c>
      <c r="F141" s="1" t="s">
        <v>400</v>
      </c>
      <c r="G141" s="5">
        <v>955</v>
      </c>
      <c r="H141" s="3" t="s">
        <v>12</v>
      </c>
    </row>
    <row r="142" spans="1:8" x14ac:dyDescent="0.3">
      <c r="A142" s="2">
        <v>46059</v>
      </c>
      <c r="B142" s="1" t="s">
        <v>25</v>
      </c>
      <c r="C142" s="1" t="s">
        <v>20</v>
      </c>
      <c r="D142" s="1" t="s">
        <v>9</v>
      </c>
      <c r="E142" s="1" t="s">
        <v>26</v>
      </c>
      <c r="F142" s="1" t="s">
        <v>401</v>
      </c>
      <c r="G142" s="5">
        <v>179966.33</v>
      </c>
      <c r="H142" s="3" t="s">
        <v>12</v>
      </c>
    </row>
    <row r="143" spans="1:8" x14ac:dyDescent="0.3">
      <c r="A143" s="2">
        <v>46059</v>
      </c>
      <c r="B143" s="1" t="s">
        <v>25</v>
      </c>
      <c r="C143" s="1" t="s">
        <v>20</v>
      </c>
      <c r="D143" s="1" t="s">
        <v>9</v>
      </c>
      <c r="E143" s="1" t="s">
        <v>28</v>
      </c>
      <c r="F143" s="1" t="s">
        <v>401</v>
      </c>
      <c r="G143" s="5">
        <v>10980.07</v>
      </c>
      <c r="H143" s="3" t="s">
        <v>12</v>
      </c>
    </row>
    <row r="144" spans="1:8" x14ac:dyDescent="0.3">
      <c r="A144" s="2">
        <v>46059</v>
      </c>
      <c r="B144" s="1" t="s">
        <v>70</v>
      </c>
      <c r="C144" s="1" t="s">
        <v>20</v>
      </c>
      <c r="D144" s="1" t="s">
        <v>9</v>
      </c>
      <c r="E144" s="1" t="s">
        <v>71</v>
      </c>
      <c r="F144" s="1" t="s">
        <v>402</v>
      </c>
      <c r="G144" s="5">
        <v>53093.96</v>
      </c>
      <c r="H144" s="3" t="s">
        <v>12</v>
      </c>
    </row>
    <row r="145" spans="1:8" x14ac:dyDescent="0.3">
      <c r="A145" s="2">
        <v>46059</v>
      </c>
      <c r="B145" s="1" t="s">
        <v>180</v>
      </c>
      <c r="C145" s="1" t="s">
        <v>8</v>
      </c>
      <c r="D145" s="1" t="s">
        <v>9</v>
      </c>
      <c r="E145" s="1" t="s">
        <v>10</v>
      </c>
      <c r="F145" s="1" t="s">
        <v>403</v>
      </c>
      <c r="G145" s="5">
        <v>232</v>
      </c>
      <c r="H145" s="3" t="s">
        <v>12</v>
      </c>
    </row>
    <row r="146" spans="1:8" x14ac:dyDescent="0.3">
      <c r="A146" s="2">
        <v>46059</v>
      </c>
      <c r="B146" s="1" t="s">
        <v>17</v>
      </c>
      <c r="C146" s="1" t="s">
        <v>20</v>
      </c>
      <c r="D146" s="1" t="s">
        <v>9</v>
      </c>
      <c r="E146" s="1" t="s">
        <v>10</v>
      </c>
      <c r="F146" s="1" t="s">
        <v>404</v>
      </c>
      <c r="G146" s="5">
        <v>342</v>
      </c>
      <c r="H146" s="3" t="s">
        <v>12</v>
      </c>
    </row>
    <row r="147" spans="1:8" x14ac:dyDescent="0.3">
      <c r="A147" s="2">
        <v>46059</v>
      </c>
      <c r="B147" s="1" t="s">
        <v>89</v>
      </c>
      <c r="C147" s="1" t="s">
        <v>8</v>
      </c>
      <c r="D147" s="1" t="s">
        <v>9</v>
      </c>
      <c r="E147" s="1" t="s">
        <v>10</v>
      </c>
      <c r="F147" s="1" t="s">
        <v>405</v>
      </c>
      <c r="G147" s="5">
        <v>1372</v>
      </c>
      <c r="H147" s="3" t="s">
        <v>12</v>
      </c>
    </row>
    <row r="148" spans="1:8" x14ac:dyDescent="0.3">
      <c r="A148" s="2">
        <v>46059</v>
      </c>
      <c r="B148" s="1" t="s">
        <v>22</v>
      </c>
      <c r="C148" s="1" t="s">
        <v>8</v>
      </c>
      <c r="D148" s="1" t="s">
        <v>9</v>
      </c>
      <c r="E148" s="1" t="s">
        <v>28</v>
      </c>
      <c r="F148" s="1" t="s">
        <v>406</v>
      </c>
      <c r="G148" s="5">
        <v>849</v>
      </c>
      <c r="H148" s="3" t="s">
        <v>12</v>
      </c>
    </row>
    <row r="149" spans="1:8" x14ac:dyDescent="0.3">
      <c r="A149" s="2">
        <v>46059</v>
      </c>
      <c r="B149" s="1" t="s">
        <v>34</v>
      </c>
      <c r="C149" s="1" t="s">
        <v>8</v>
      </c>
      <c r="D149" s="1" t="s">
        <v>9</v>
      </c>
      <c r="E149" s="1" t="s">
        <v>10</v>
      </c>
      <c r="F149" s="1" t="s">
        <v>407</v>
      </c>
      <c r="G149" s="5">
        <v>314.95999999999998</v>
      </c>
      <c r="H149" s="3" t="s">
        <v>12</v>
      </c>
    </row>
    <row r="150" spans="1:8" x14ac:dyDescent="0.3">
      <c r="A150" s="2">
        <v>46059</v>
      </c>
      <c r="B150" s="1" t="s">
        <v>34</v>
      </c>
      <c r="C150" s="1" t="s">
        <v>8</v>
      </c>
      <c r="D150" s="1" t="s">
        <v>9</v>
      </c>
      <c r="E150" s="1" t="s">
        <v>10</v>
      </c>
      <c r="F150" s="1" t="s">
        <v>408</v>
      </c>
      <c r="G150" s="5">
        <v>1250.06</v>
      </c>
      <c r="H150" s="3" t="s">
        <v>12</v>
      </c>
    </row>
    <row r="151" spans="1:8" x14ac:dyDescent="0.3">
      <c r="A151" s="2">
        <v>46059</v>
      </c>
      <c r="B151" s="1" t="s">
        <v>34</v>
      </c>
      <c r="C151" s="1" t="s">
        <v>8</v>
      </c>
      <c r="D151" s="1" t="s">
        <v>9</v>
      </c>
      <c r="E151" s="1" t="s">
        <v>10</v>
      </c>
      <c r="F151" s="1" t="s">
        <v>409</v>
      </c>
      <c r="G151" s="5">
        <v>736.5</v>
      </c>
      <c r="H151" s="3" t="s">
        <v>12</v>
      </c>
    </row>
    <row r="152" spans="1:8" x14ac:dyDescent="0.3">
      <c r="A152" s="2">
        <v>46059</v>
      </c>
      <c r="B152" s="1" t="s">
        <v>163</v>
      </c>
      <c r="C152" s="1" t="s">
        <v>8</v>
      </c>
      <c r="D152" s="1" t="s">
        <v>9</v>
      </c>
      <c r="E152" s="1" t="s">
        <v>10</v>
      </c>
      <c r="F152" s="1" t="s">
        <v>410</v>
      </c>
      <c r="G152" s="5">
        <v>153</v>
      </c>
      <c r="H152" s="3" t="s">
        <v>12</v>
      </c>
    </row>
    <row r="153" spans="1:8" x14ac:dyDescent="0.3">
      <c r="A153" s="2">
        <v>46059</v>
      </c>
      <c r="B153" s="1" t="s">
        <v>15</v>
      </c>
      <c r="C153" s="1" t="s">
        <v>30</v>
      </c>
      <c r="D153" s="1" t="s">
        <v>9</v>
      </c>
      <c r="E153" s="1" t="s">
        <v>10</v>
      </c>
      <c r="F153" s="1" t="s">
        <v>411</v>
      </c>
      <c r="G153" s="5">
        <v>180</v>
      </c>
      <c r="H153" s="3" t="s">
        <v>12</v>
      </c>
    </row>
    <row r="154" spans="1:8" x14ac:dyDescent="0.3">
      <c r="A154" s="2">
        <v>46059</v>
      </c>
      <c r="B154" s="1" t="s">
        <v>53</v>
      </c>
      <c r="C154" s="1" t="s">
        <v>20</v>
      </c>
      <c r="D154" s="1" t="s">
        <v>9</v>
      </c>
      <c r="E154" s="1" t="s">
        <v>10</v>
      </c>
      <c r="F154" s="1" t="s">
        <v>412</v>
      </c>
      <c r="G154" s="5">
        <v>348</v>
      </c>
      <c r="H154" s="3" t="s">
        <v>12</v>
      </c>
    </row>
    <row r="155" spans="1:8" x14ac:dyDescent="0.3">
      <c r="A155" s="2">
        <v>46058</v>
      </c>
      <c r="B155" s="1" t="s">
        <v>22</v>
      </c>
      <c r="C155" s="1" t="s">
        <v>8</v>
      </c>
      <c r="D155" s="1" t="s">
        <v>9</v>
      </c>
      <c r="E155" s="1" t="s">
        <v>28</v>
      </c>
      <c r="F155" s="1" t="s">
        <v>413</v>
      </c>
      <c r="G155" s="5">
        <v>1860</v>
      </c>
      <c r="H155" s="3" t="s">
        <v>12</v>
      </c>
    </row>
    <row r="156" spans="1:8" x14ac:dyDescent="0.3">
      <c r="A156" s="2">
        <v>46058</v>
      </c>
      <c r="B156" s="1" t="s">
        <v>34</v>
      </c>
      <c r="C156" s="1" t="s">
        <v>8</v>
      </c>
      <c r="D156" s="1" t="s">
        <v>9</v>
      </c>
      <c r="E156" s="1" t="s">
        <v>10</v>
      </c>
      <c r="F156" s="1" t="s">
        <v>414</v>
      </c>
      <c r="G156" s="5">
        <v>872.25</v>
      </c>
      <c r="H156" s="3" t="s">
        <v>12</v>
      </c>
    </row>
    <row r="157" spans="1:8" x14ac:dyDescent="0.3">
      <c r="A157" s="2">
        <v>46058</v>
      </c>
      <c r="B157" s="1" t="s">
        <v>34</v>
      </c>
      <c r="C157" s="1" t="s">
        <v>8</v>
      </c>
      <c r="D157" s="1" t="s">
        <v>9</v>
      </c>
      <c r="E157" s="1" t="s">
        <v>10</v>
      </c>
      <c r="F157" s="1" t="s">
        <v>415</v>
      </c>
      <c r="G157" s="5">
        <v>1950.06</v>
      </c>
      <c r="H157" s="3" t="s">
        <v>12</v>
      </c>
    </row>
    <row r="158" spans="1:8" x14ac:dyDescent="0.3">
      <c r="A158" s="2">
        <v>46058</v>
      </c>
      <c r="B158" s="1" t="s">
        <v>15</v>
      </c>
      <c r="C158" s="1" t="s">
        <v>8</v>
      </c>
      <c r="D158" s="1" t="s">
        <v>9</v>
      </c>
      <c r="E158" s="1" t="s">
        <v>10</v>
      </c>
      <c r="F158" s="1" t="s">
        <v>416</v>
      </c>
      <c r="G158" s="5">
        <v>105</v>
      </c>
      <c r="H158" s="3" t="s">
        <v>12</v>
      </c>
    </row>
    <row r="159" spans="1:8" x14ac:dyDescent="0.3">
      <c r="A159" s="2">
        <v>46058</v>
      </c>
      <c r="B159" s="1" t="s">
        <v>218</v>
      </c>
      <c r="C159" s="1" t="s">
        <v>8</v>
      </c>
      <c r="D159" s="1" t="s">
        <v>9</v>
      </c>
      <c r="E159" s="1" t="s">
        <v>10</v>
      </c>
      <c r="F159" s="1" t="s">
        <v>417</v>
      </c>
      <c r="G159" s="5">
        <v>292</v>
      </c>
      <c r="H159" s="3" t="s">
        <v>12</v>
      </c>
    </row>
    <row r="160" spans="1:8" x14ac:dyDescent="0.3">
      <c r="A160" s="2">
        <v>46058</v>
      </c>
      <c r="B160" s="1" t="s">
        <v>218</v>
      </c>
      <c r="C160" s="1" t="s">
        <v>8</v>
      </c>
      <c r="D160" s="1" t="s">
        <v>9</v>
      </c>
      <c r="E160" s="1" t="s">
        <v>28</v>
      </c>
      <c r="F160" s="1" t="s">
        <v>418</v>
      </c>
      <c r="G160" s="5">
        <v>235</v>
      </c>
      <c r="H160" s="3" t="s">
        <v>12</v>
      </c>
    </row>
    <row r="161" spans="1:8" x14ac:dyDescent="0.3">
      <c r="A161" s="2">
        <v>46058</v>
      </c>
      <c r="B161" s="1" t="s">
        <v>218</v>
      </c>
      <c r="C161" s="1" t="s">
        <v>20</v>
      </c>
      <c r="D161" s="1" t="s">
        <v>9</v>
      </c>
      <c r="E161" s="1" t="s">
        <v>10</v>
      </c>
      <c r="F161" s="1" t="s">
        <v>419</v>
      </c>
      <c r="G161" s="5">
        <v>410.4</v>
      </c>
      <c r="H161" s="3" t="s">
        <v>12</v>
      </c>
    </row>
    <row r="162" spans="1:8" x14ac:dyDescent="0.3">
      <c r="A162" s="2">
        <v>46058</v>
      </c>
      <c r="B162" s="1" t="s">
        <v>218</v>
      </c>
      <c r="C162" s="1" t="s">
        <v>8</v>
      </c>
      <c r="D162" s="1" t="s">
        <v>9</v>
      </c>
      <c r="E162" s="1" t="s">
        <v>28</v>
      </c>
      <c r="F162" s="1" t="s">
        <v>419</v>
      </c>
      <c r="G162" s="5">
        <v>410.4</v>
      </c>
      <c r="H162" s="3" t="s">
        <v>12</v>
      </c>
    </row>
    <row r="163" spans="1:8" x14ac:dyDescent="0.3">
      <c r="A163" s="2">
        <v>46058</v>
      </c>
      <c r="B163" s="1" t="s">
        <v>218</v>
      </c>
      <c r="C163" s="1" t="s">
        <v>8</v>
      </c>
      <c r="D163" s="1" t="s">
        <v>9</v>
      </c>
      <c r="E163" s="1" t="s">
        <v>28</v>
      </c>
      <c r="F163" s="1" t="s">
        <v>417</v>
      </c>
      <c r="G163" s="5">
        <v>601.99</v>
      </c>
      <c r="H163" s="3" t="s">
        <v>12</v>
      </c>
    </row>
    <row r="164" spans="1:8" x14ac:dyDescent="0.3">
      <c r="A164" s="2">
        <v>46058</v>
      </c>
      <c r="B164" s="1" t="s">
        <v>55</v>
      </c>
      <c r="C164" s="1" t="s">
        <v>20</v>
      </c>
      <c r="D164" s="1" t="s">
        <v>9</v>
      </c>
      <c r="E164" s="1" t="s">
        <v>28</v>
      </c>
      <c r="F164" s="1" t="s">
        <v>420</v>
      </c>
      <c r="G164" s="5">
        <v>6280.2</v>
      </c>
      <c r="H164" s="3" t="s">
        <v>12</v>
      </c>
    </row>
    <row r="165" spans="1:8" x14ac:dyDescent="0.3">
      <c r="A165" s="2">
        <v>46058</v>
      </c>
      <c r="B165" s="1" t="s">
        <v>7</v>
      </c>
      <c r="C165" s="1" t="s">
        <v>8</v>
      </c>
      <c r="D165" s="1" t="s">
        <v>9</v>
      </c>
      <c r="E165" s="1" t="s">
        <v>10</v>
      </c>
      <c r="F165" s="1" t="s">
        <v>421</v>
      </c>
      <c r="G165" s="5">
        <v>239</v>
      </c>
      <c r="H165" s="3" t="s">
        <v>12</v>
      </c>
    </row>
    <row r="166" spans="1:8" x14ac:dyDescent="0.3">
      <c r="A166" s="2">
        <v>46058</v>
      </c>
      <c r="B166" s="1" t="s">
        <v>22</v>
      </c>
      <c r="C166" s="1" t="s">
        <v>102</v>
      </c>
      <c r="D166" s="1" t="s">
        <v>9</v>
      </c>
      <c r="E166" s="1" t="s">
        <v>10</v>
      </c>
      <c r="F166" s="1" t="s">
        <v>422</v>
      </c>
      <c r="G166" s="5">
        <v>3827.92</v>
      </c>
      <c r="H166" s="3" t="s">
        <v>12</v>
      </c>
    </row>
    <row r="167" spans="1:8" x14ac:dyDescent="0.3">
      <c r="A167" s="2">
        <v>46057</v>
      </c>
      <c r="B167" s="1" t="s">
        <v>45</v>
      </c>
      <c r="C167" s="1" t="s">
        <v>20</v>
      </c>
      <c r="D167" s="1" t="s">
        <v>9</v>
      </c>
      <c r="E167" s="1" t="s">
        <v>10</v>
      </c>
      <c r="F167" s="1" t="s">
        <v>423</v>
      </c>
      <c r="G167" s="5">
        <v>1974.6</v>
      </c>
      <c r="H167" s="3" t="s">
        <v>12</v>
      </c>
    </row>
    <row r="168" spans="1:8" x14ac:dyDescent="0.3">
      <c r="A168" s="2">
        <v>46057</v>
      </c>
      <c r="B168" s="1" t="s">
        <v>34</v>
      </c>
      <c r="C168" s="1" t="s">
        <v>8</v>
      </c>
      <c r="D168" s="1" t="s">
        <v>9</v>
      </c>
      <c r="E168" s="1" t="s">
        <v>10</v>
      </c>
      <c r="F168" s="1" t="s">
        <v>424</v>
      </c>
      <c r="G168" s="5">
        <v>707.14</v>
      </c>
      <c r="H168" s="3" t="s">
        <v>12</v>
      </c>
    </row>
    <row r="169" spans="1:8" x14ac:dyDescent="0.3">
      <c r="A169" s="2">
        <v>46057</v>
      </c>
      <c r="B169" s="1" t="s">
        <v>218</v>
      </c>
      <c r="C169" s="1" t="s">
        <v>8</v>
      </c>
      <c r="D169" s="1" t="s">
        <v>9</v>
      </c>
      <c r="E169" s="1" t="s">
        <v>10</v>
      </c>
      <c r="F169" s="1" t="s">
        <v>425</v>
      </c>
      <c r="G169" s="5">
        <v>69.900000000000006</v>
      </c>
      <c r="H169" s="3" t="s">
        <v>12</v>
      </c>
    </row>
    <row r="170" spans="1:8" x14ac:dyDescent="0.3">
      <c r="A170" s="2">
        <v>46057</v>
      </c>
      <c r="B170" s="1" t="s">
        <v>7</v>
      </c>
      <c r="C170" s="1" t="s">
        <v>8</v>
      </c>
      <c r="D170" s="1" t="s">
        <v>9</v>
      </c>
      <c r="E170" s="1" t="s">
        <v>10</v>
      </c>
      <c r="F170" s="1" t="s">
        <v>426</v>
      </c>
      <c r="G170" s="5">
        <v>105</v>
      </c>
      <c r="H170" s="3" t="s">
        <v>12</v>
      </c>
    </row>
    <row r="171" spans="1:8" x14ac:dyDescent="0.3">
      <c r="A171" s="2">
        <v>46057</v>
      </c>
      <c r="B171" s="1" t="s">
        <v>34</v>
      </c>
      <c r="C171" s="1" t="s">
        <v>8</v>
      </c>
      <c r="D171" s="1" t="s">
        <v>9</v>
      </c>
      <c r="E171" s="1" t="s">
        <v>10</v>
      </c>
      <c r="F171" s="1" t="s">
        <v>427</v>
      </c>
      <c r="G171" s="5">
        <v>1000</v>
      </c>
      <c r="H171" s="3" t="s">
        <v>12</v>
      </c>
    </row>
    <row r="172" spans="1:8" x14ac:dyDescent="0.3">
      <c r="A172" s="2">
        <v>46057</v>
      </c>
      <c r="B172" s="1" t="s">
        <v>163</v>
      </c>
      <c r="C172" s="1" t="s">
        <v>8</v>
      </c>
      <c r="D172" s="1" t="s">
        <v>9</v>
      </c>
      <c r="E172" s="1" t="s">
        <v>10</v>
      </c>
      <c r="F172" s="1" t="s">
        <v>428</v>
      </c>
      <c r="G172" s="5">
        <v>310.49</v>
      </c>
      <c r="H172" s="3" t="s">
        <v>12</v>
      </c>
    </row>
    <row r="173" spans="1:8" x14ac:dyDescent="0.3">
      <c r="A173" s="2">
        <v>46057</v>
      </c>
      <c r="B173" s="1" t="s">
        <v>218</v>
      </c>
      <c r="C173" s="1" t="s">
        <v>30</v>
      </c>
      <c r="D173" s="1" t="s">
        <v>9</v>
      </c>
      <c r="E173" s="1" t="s">
        <v>28</v>
      </c>
      <c r="F173" s="1" t="s">
        <v>429</v>
      </c>
      <c r="G173" s="5">
        <v>44.99</v>
      </c>
      <c r="H173" s="3" t="s">
        <v>12</v>
      </c>
    </row>
    <row r="174" spans="1:8" x14ac:dyDescent="0.3">
      <c r="A174" s="2">
        <v>46056</v>
      </c>
      <c r="B174" s="1" t="s">
        <v>29</v>
      </c>
      <c r="C174" s="1" t="s">
        <v>20</v>
      </c>
      <c r="D174" s="1" t="s">
        <v>9</v>
      </c>
      <c r="E174" s="1" t="s">
        <v>10</v>
      </c>
      <c r="F174" s="1" t="s">
        <v>430</v>
      </c>
      <c r="G174" s="5">
        <v>3011</v>
      </c>
      <c r="H174" s="3" t="s">
        <v>12</v>
      </c>
    </row>
    <row r="175" spans="1:8" x14ac:dyDescent="0.3">
      <c r="A175" s="2">
        <v>46056</v>
      </c>
      <c r="B175" s="1" t="s">
        <v>13</v>
      </c>
      <c r="C175" s="1" t="s">
        <v>8</v>
      </c>
      <c r="D175" s="1" t="s">
        <v>9</v>
      </c>
      <c r="E175" s="1" t="s">
        <v>10</v>
      </c>
      <c r="F175" s="1" t="s">
        <v>431</v>
      </c>
      <c r="G175" s="5">
        <v>37</v>
      </c>
      <c r="H175" s="3" t="s">
        <v>12</v>
      </c>
    </row>
    <row r="176" spans="1:8" x14ac:dyDescent="0.3">
      <c r="A176" s="2">
        <v>46056</v>
      </c>
      <c r="B176" s="1" t="s">
        <v>226</v>
      </c>
      <c r="C176" s="1" t="s">
        <v>20</v>
      </c>
      <c r="D176" s="1" t="s">
        <v>9</v>
      </c>
      <c r="E176" s="1" t="s">
        <v>10</v>
      </c>
      <c r="F176" s="1" t="s">
        <v>432</v>
      </c>
      <c r="G176" s="5">
        <v>1294.3900000000001</v>
      </c>
      <c r="H176" s="3" t="s">
        <v>12</v>
      </c>
    </row>
    <row r="177" spans="1:8" x14ac:dyDescent="0.3">
      <c r="A177" s="2">
        <v>46056</v>
      </c>
      <c r="B177" s="1" t="s">
        <v>226</v>
      </c>
      <c r="C177" s="1" t="s">
        <v>20</v>
      </c>
      <c r="D177" s="1" t="s">
        <v>9</v>
      </c>
      <c r="E177" s="1" t="s">
        <v>10</v>
      </c>
      <c r="F177" s="1" t="s">
        <v>433</v>
      </c>
      <c r="G177" s="5">
        <v>10427.1</v>
      </c>
      <c r="H177" s="3" t="s">
        <v>12</v>
      </c>
    </row>
    <row r="178" spans="1:8" x14ac:dyDescent="0.3">
      <c r="A178" s="2">
        <v>46056</v>
      </c>
      <c r="B178" s="1" t="s">
        <v>226</v>
      </c>
      <c r="C178" s="1" t="s">
        <v>20</v>
      </c>
      <c r="D178" s="1" t="s">
        <v>9</v>
      </c>
      <c r="E178" s="1" t="s">
        <v>10</v>
      </c>
      <c r="F178" s="1" t="s">
        <v>434</v>
      </c>
      <c r="G178" s="5">
        <v>25583.8</v>
      </c>
      <c r="H178" s="3" t="s">
        <v>12</v>
      </c>
    </row>
    <row r="179" spans="1:8" x14ac:dyDescent="0.3">
      <c r="A179" s="2">
        <v>46056</v>
      </c>
      <c r="B179" s="1" t="s">
        <v>226</v>
      </c>
      <c r="C179" s="1" t="s">
        <v>20</v>
      </c>
      <c r="D179" s="1" t="s">
        <v>9</v>
      </c>
      <c r="E179" s="1" t="s">
        <v>10</v>
      </c>
      <c r="F179" s="1" t="s">
        <v>435</v>
      </c>
      <c r="G179" s="5">
        <v>47983.47</v>
      </c>
      <c r="H179" s="3" t="s">
        <v>12</v>
      </c>
    </row>
    <row r="180" spans="1:8" x14ac:dyDescent="0.3">
      <c r="A180" s="2">
        <v>46056</v>
      </c>
      <c r="B180" s="1" t="s">
        <v>55</v>
      </c>
      <c r="C180" s="1" t="s">
        <v>20</v>
      </c>
      <c r="D180" s="1" t="s">
        <v>9</v>
      </c>
      <c r="E180" s="1" t="s">
        <v>10</v>
      </c>
      <c r="F180" s="1" t="s">
        <v>436</v>
      </c>
      <c r="G180" s="5">
        <v>6609.68</v>
      </c>
      <c r="H180" s="3" t="s">
        <v>12</v>
      </c>
    </row>
    <row r="181" spans="1:8" x14ac:dyDescent="0.3">
      <c r="A181" s="2">
        <v>46056</v>
      </c>
      <c r="B181" s="1" t="s">
        <v>13</v>
      </c>
      <c r="C181" s="1" t="s">
        <v>8</v>
      </c>
      <c r="D181" s="1" t="s">
        <v>23</v>
      </c>
      <c r="E181" s="1" t="s">
        <v>10</v>
      </c>
      <c r="F181" s="1" t="s">
        <v>437</v>
      </c>
      <c r="G181" s="5">
        <v>205</v>
      </c>
      <c r="H181" s="3" t="s">
        <v>12</v>
      </c>
    </row>
    <row r="182" spans="1:8" x14ac:dyDescent="0.3">
      <c r="A182" s="2">
        <v>46056</v>
      </c>
      <c r="B182" s="1" t="s">
        <v>13</v>
      </c>
      <c r="C182" s="1" t="s">
        <v>30</v>
      </c>
      <c r="D182" s="1" t="s">
        <v>9</v>
      </c>
      <c r="E182" s="1" t="s">
        <v>10</v>
      </c>
      <c r="F182" s="1" t="s">
        <v>438</v>
      </c>
      <c r="G182" s="5">
        <v>361</v>
      </c>
      <c r="H182" s="3" t="s">
        <v>12</v>
      </c>
    </row>
    <row r="183" spans="1:8" x14ac:dyDescent="0.3">
      <c r="A183" s="2">
        <v>46055</v>
      </c>
      <c r="B183" s="1" t="s">
        <v>226</v>
      </c>
      <c r="C183" s="1" t="s">
        <v>20</v>
      </c>
      <c r="D183" s="1" t="s">
        <v>9</v>
      </c>
      <c r="E183" s="1" t="s">
        <v>10</v>
      </c>
      <c r="F183" s="1" t="s">
        <v>439</v>
      </c>
      <c r="G183" s="5">
        <v>2242.84</v>
      </c>
      <c r="H183" s="3" t="s">
        <v>12</v>
      </c>
    </row>
    <row r="184" spans="1:8" x14ac:dyDescent="0.3">
      <c r="A184" s="2">
        <v>46054</v>
      </c>
      <c r="B184" s="1" t="s">
        <v>19</v>
      </c>
      <c r="C184" s="1" t="s">
        <v>102</v>
      </c>
      <c r="D184" s="1" t="s">
        <v>9</v>
      </c>
      <c r="E184" s="1" t="s">
        <v>10</v>
      </c>
      <c r="F184" s="1" t="s">
        <v>440</v>
      </c>
      <c r="G184" s="5">
        <v>6798.17</v>
      </c>
      <c r="H184" s="3" t="s">
        <v>12</v>
      </c>
    </row>
    <row r="185" spans="1:8" x14ac:dyDescent="0.3">
      <c r="A185" s="2">
        <v>46054</v>
      </c>
      <c r="B185" s="1" t="s">
        <v>226</v>
      </c>
      <c r="C185" s="1" t="s">
        <v>20</v>
      </c>
      <c r="D185" s="1" t="s">
        <v>9</v>
      </c>
      <c r="E185" s="1" t="s">
        <v>10</v>
      </c>
      <c r="F185" s="1" t="s">
        <v>441</v>
      </c>
      <c r="G185" s="5">
        <v>8883.44</v>
      </c>
      <c r="H185" s="3" t="s">
        <v>12</v>
      </c>
    </row>
    <row r="186" spans="1:8" x14ac:dyDescent="0.3">
      <c r="G186" s="8">
        <f>SUM(G2:G185)</f>
        <v>1259904.0499999991</v>
      </c>
    </row>
    <row r="189" spans="1:8" x14ac:dyDescent="0.3">
      <c r="G189">
        <f>SUBTOTAL(9,G8:G171)</f>
        <v>969178.56999999983</v>
      </c>
    </row>
  </sheetData>
  <autoFilter ref="A1:H187" xr:uid="{B057527D-9004-48F4-B701-DAE352BB273A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46FA1-5065-417D-8837-BB6CDD303DEA}">
  <dimension ref="A1:H190"/>
  <sheetViews>
    <sheetView workbookViewId="0">
      <selection activeCell="D11" sqref="D11"/>
    </sheetView>
  </sheetViews>
  <sheetFormatPr baseColWidth="10" defaultRowHeight="14.4" x14ac:dyDescent="0.3"/>
  <cols>
    <col min="2" max="2" width="24.109375" customWidth="1"/>
    <col min="3" max="3" width="18.88671875" customWidth="1"/>
    <col min="4" max="4" width="16.6640625" customWidth="1"/>
    <col min="5" max="5" width="16.21875" customWidth="1"/>
    <col min="6" max="6" width="27.21875" customWidth="1"/>
    <col min="7" max="7" width="14" bestFit="1" customWidth="1"/>
    <col min="8" max="8" width="11.5546875" style="4"/>
  </cols>
  <sheetData>
    <row r="1" spans="1:8" ht="30" customHeight="1" x14ac:dyDescent="0.3">
      <c r="A1" s="6" t="s">
        <v>0</v>
      </c>
      <c r="B1" s="6" t="s">
        <v>1</v>
      </c>
      <c r="C1" s="6" t="s">
        <v>2</v>
      </c>
      <c r="D1" s="6" t="s">
        <v>238</v>
      </c>
      <c r="E1" s="6" t="s">
        <v>3</v>
      </c>
      <c r="F1" s="6" t="s">
        <v>4</v>
      </c>
      <c r="G1" s="6" t="s">
        <v>5</v>
      </c>
      <c r="H1" s="6" t="s">
        <v>6</v>
      </c>
    </row>
    <row r="2" spans="1:8" x14ac:dyDescent="0.3">
      <c r="A2" s="2">
        <v>46112</v>
      </c>
      <c r="B2" s="1" t="s">
        <v>34</v>
      </c>
      <c r="C2" s="1" t="s">
        <v>8</v>
      </c>
      <c r="D2" s="1" t="s">
        <v>9</v>
      </c>
      <c r="E2" s="1" t="s">
        <v>10</v>
      </c>
      <c r="F2" s="1" t="s">
        <v>444</v>
      </c>
      <c r="G2" s="5">
        <v>890.73</v>
      </c>
      <c r="H2" s="3" t="s">
        <v>12</v>
      </c>
    </row>
    <row r="3" spans="1:8" x14ac:dyDescent="0.3">
      <c r="A3" s="2">
        <v>46112</v>
      </c>
      <c r="B3" s="1" t="s">
        <v>45</v>
      </c>
      <c r="C3" s="1" t="s">
        <v>20</v>
      </c>
      <c r="D3" s="1" t="s">
        <v>9</v>
      </c>
      <c r="E3" s="1" t="s">
        <v>10</v>
      </c>
      <c r="F3" s="1" t="s">
        <v>46</v>
      </c>
      <c r="G3" s="5">
        <v>6727.19</v>
      </c>
      <c r="H3" s="3" t="s">
        <v>12</v>
      </c>
    </row>
    <row r="4" spans="1:8" x14ac:dyDescent="0.3">
      <c r="A4" s="2">
        <v>46112</v>
      </c>
      <c r="B4" s="1" t="s">
        <v>34</v>
      </c>
      <c r="C4" s="1" t="s">
        <v>8</v>
      </c>
      <c r="D4" s="1" t="s">
        <v>9</v>
      </c>
      <c r="E4" s="1" t="s">
        <v>10</v>
      </c>
      <c r="F4" s="1" t="s">
        <v>445</v>
      </c>
      <c r="G4" s="5">
        <v>630.21</v>
      </c>
      <c r="H4" s="3" t="s">
        <v>12</v>
      </c>
    </row>
    <row r="5" spans="1:8" x14ac:dyDescent="0.3">
      <c r="A5" s="2">
        <v>46112</v>
      </c>
      <c r="B5" s="1" t="s">
        <v>34</v>
      </c>
      <c r="C5" s="1" t="s">
        <v>8</v>
      </c>
      <c r="D5" s="1" t="s">
        <v>9</v>
      </c>
      <c r="E5" s="1" t="s">
        <v>10</v>
      </c>
      <c r="F5" s="1" t="s">
        <v>446</v>
      </c>
      <c r="G5" s="5">
        <v>650.84</v>
      </c>
      <c r="H5" s="3" t="s">
        <v>12</v>
      </c>
    </row>
    <row r="6" spans="1:8" x14ac:dyDescent="0.3">
      <c r="A6" s="2">
        <v>46112</v>
      </c>
      <c r="B6" s="1" t="s">
        <v>34</v>
      </c>
      <c r="C6" s="1" t="s">
        <v>8</v>
      </c>
      <c r="D6" s="1" t="s">
        <v>9</v>
      </c>
      <c r="E6" s="1" t="s">
        <v>10</v>
      </c>
      <c r="F6" s="1" t="s">
        <v>447</v>
      </c>
      <c r="G6" s="5">
        <v>1289.6099999999999</v>
      </c>
      <c r="H6" s="3" t="s">
        <v>12</v>
      </c>
    </row>
    <row r="7" spans="1:8" x14ac:dyDescent="0.3">
      <c r="A7" s="2">
        <v>46112</v>
      </c>
      <c r="B7" s="1" t="s">
        <v>13</v>
      </c>
      <c r="C7" s="1" t="s">
        <v>8</v>
      </c>
      <c r="D7" s="1" t="s">
        <v>9</v>
      </c>
      <c r="E7" s="1" t="s">
        <v>10</v>
      </c>
      <c r="F7" s="1" t="s">
        <v>448</v>
      </c>
      <c r="G7" s="5">
        <v>4849</v>
      </c>
      <c r="H7" s="3" t="s">
        <v>12</v>
      </c>
    </row>
    <row r="8" spans="1:8" x14ac:dyDescent="0.3">
      <c r="A8" s="2">
        <v>46112</v>
      </c>
      <c r="B8" s="1" t="s">
        <v>45</v>
      </c>
      <c r="C8" s="1" t="s">
        <v>20</v>
      </c>
      <c r="D8" s="1" t="s">
        <v>9</v>
      </c>
      <c r="E8" s="1" t="s">
        <v>10</v>
      </c>
      <c r="F8" s="1" t="s">
        <v>449</v>
      </c>
      <c r="G8" s="5">
        <v>2565.02</v>
      </c>
      <c r="H8" s="3" t="s">
        <v>12</v>
      </c>
    </row>
    <row r="9" spans="1:8" x14ac:dyDescent="0.3">
      <c r="A9" s="2">
        <v>46112</v>
      </c>
      <c r="B9" s="1" t="s">
        <v>29</v>
      </c>
      <c r="C9" s="1" t="s">
        <v>30</v>
      </c>
      <c r="D9" s="1" t="s">
        <v>9</v>
      </c>
      <c r="E9" s="1" t="s">
        <v>28</v>
      </c>
      <c r="F9" s="1" t="s">
        <v>450</v>
      </c>
      <c r="G9" s="5">
        <v>600</v>
      </c>
      <c r="H9" s="3" t="s">
        <v>12</v>
      </c>
    </row>
    <row r="10" spans="1:8" x14ac:dyDescent="0.3">
      <c r="A10" s="2">
        <v>46112</v>
      </c>
      <c r="B10" s="1" t="s">
        <v>79</v>
      </c>
      <c r="C10" s="1" t="s">
        <v>30</v>
      </c>
      <c r="D10" s="1" t="s">
        <v>9</v>
      </c>
      <c r="E10" s="1" t="s">
        <v>79</v>
      </c>
      <c r="F10" s="1" t="s">
        <v>451</v>
      </c>
      <c r="G10" s="5">
        <v>14405.7</v>
      </c>
      <c r="H10" s="3" t="s">
        <v>12</v>
      </c>
    </row>
    <row r="11" spans="1:8" x14ac:dyDescent="0.3">
      <c r="A11" s="2">
        <v>46112</v>
      </c>
      <c r="B11" s="1" t="s">
        <v>226</v>
      </c>
      <c r="C11" s="1" t="s">
        <v>20</v>
      </c>
      <c r="D11" s="1" t="s">
        <v>9</v>
      </c>
      <c r="E11" s="1" t="s">
        <v>10</v>
      </c>
      <c r="F11" s="1" t="s">
        <v>452</v>
      </c>
      <c r="G11" s="5">
        <v>22906.77</v>
      </c>
      <c r="H11" s="3" t="s">
        <v>12</v>
      </c>
    </row>
    <row r="12" spans="1:8" x14ac:dyDescent="0.3">
      <c r="A12" s="2">
        <v>46112</v>
      </c>
      <c r="B12" s="1" t="s">
        <v>13</v>
      </c>
      <c r="C12" s="1" t="s">
        <v>8</v>
      </c>
      <c r="D12" s="1" t="s">
        <v>23</v>
      </c>
      <c r="E12" s="1" t="s">
        <v>10</v>
      </c>
      <c r="F12" s="1" t="s">
        <v>454</v>
      </c>
      <c r="G12" s="5">
        <v>320</v>
      </c>
      <c r="H12" s="3" t="s">
        <v>12</v>
      </c>
    </row>
    <row r="13" spans="1:8" x14ac:dyDescent="0.3">
      <c r="A13" s="2">
        <v>46112</v>
      </c>
      <c r="B13" s="1" t="s">
        <v>53</v>
      </c>
      <c r="C13" s="1" t="s">
        <v>8</v>
      </c>
      <c r="D13" s="1" t="s">
        <v>23</v>
      </c>
      <c r="E13" s="1" t="s">
        <v>10</v>
      </c>
      <c r="F13" s="1" t="s">
        <v>455</v>
      </c>
      <c r="G13" s="5">
        <v>232</v>
      </c>
      <c r="H13" s="3" t="s">
        <v>12</v>
      </c>
    </row>
    <row r="14" spans="1:8" x14ac:dyDescent="0.3">
      <c r="A14" s="2">
        <v>46112</v>
      </c>
      <c r="B14" s="1" t="s">
        <v>53</v>
      </c>
      <c r="C14" s="1" t="s">
        <v>8</v>
      </c>
      <c r="D14" s="1" t="s">
        <v>9</v>
      </c>
      <c r="E14" s="1" t="s">
        <v>28</v>
      </c>
      <c r="F14" s="1" t="s">
        <v>456</v>
      </c>
      <c r="G14" s="5">
        <v>4239.9799999999996</v>
      </c>
      <c r="H14" s="3" t="s">
        <v>12</v>
      </c>
    </row>
    <row r="15" spans="1:8" x14ac:dyDescent="0.3">
      <c r="A15" s="2">
        <v>46112</v>
      </c>
      <c r="B15" s="1" t="s">
        <v>53</v>
      </c>
      <c r="C15" s="1" t="s">
        <v>8</v>
      </c>
      <c r="D15" s="1" t="s">
        <v>9</v>
      </c>
      <c r="E15" s="1" t="s">
        <v>10</v>
      </c>
      <c r="F15" s="1" t="s">
        <v>457</v>
      </c>
      <c r="G15" s="5">
        <v>1931.98</v>
      </c>
      <c r="H15" s="3" t="s">
        <v>12</v>
      </c>
    </row>
    <row r="16" spans="1:8" x14ac:dyDescent="0.3">
      <c r="A16" s="2">
        <v>46111</v>
      </c>
      <c r="B16" s="1" t="s">
        <v>50</v>
      </c>
      <c r="C16" s="1" t="s">
        <v>30</v>
      </c>
      <c r="D16" s="1" t="s">
        <v>9</v>
      </c>
      <c r="E16" s="1" t="s">
        <v>28</v>
      </c>
      <c r="F16" s="1" t="s">
        <v>458</v>
      </c>
      <c r="G16" s="5">
        <v>104</v>
      </c>
      <c r="H16" s="3" t="s">
        <v>12</v>
      </c>
    </row>
    <row r="17" spans="1:8" x14ac:dyDescent="0.3">
      <c r="A17" s="2">
        <v>46111</v>
      </c>
      <c r="B17" s="1" t="s">
        <v>226</v>
      </c>
      <c r="C17" s="1" t="s">
        <v>8</v>
      </c>
      <c r="D17" s="1" t="s">
        <v>9</v>
      </c>
      <c r="E17" s="1" t="s">
        <v>10</v>
      </c>
      <c r="F17" s="1" t="s">
        <v>459</v>
      </c>
      <c r="G17" s="5">
        <v>1250</v>
      </c>
      <c r="H17" s="3" t="s">
        <v>12</v>
      </c>
    </row>
    <row r="18" spans="1:8" x14ac:dyDescent="0.3">
      <c r="A18" s="2">
        <v>46111</v>
      </c>
      <c r="B18" s="1" t="s">
        <v>55</v>
      </c>
      <c r="C18" s="1" t="s">
        <v>8</v>
      </c>
      <c r="D18" s="1" t="s">
        <v>9</v>
      </c>
      <c r="E18" s="1" t="s">
        <v>28</v>
      </c>
      <c r="F18" s="1" t="s">
        <v>460</v>
      </c>
      <c r="G18" s="5">
        <v>5757.95</v>
      </c>
      <c r="H18" s="3" t="s">
        <v>12</v>
      </c>
    </row>
    <row r="19" spans="1:8" x14ac:dyDescent="0.3">
      <c r="A19" s="2">
        <v>46108</v>
      </c>
      <c r="B19" s="1" t="s">
        <v>34</v>
      </c>
      <c r="C19" s="1" t="s">
        <v>8</v>
      </c>
      <c r="D19" s="1" t="s">
        <v>9</v>
      </c>
      <c r="E19" s="1" t="s">
        <v>10</v>
      </c>
      <c r="F19" s="1" t="s">
        <v>461</v>
      </c>
      <c r="G19" s="5">
        <v>1298.1199999999999</v>
      </c>
      <c r="H19" s="3" t="s">
        <v>12</v>
      </c>
    </row>
    <row r="20" spans="1:8" x14ac:dyDescent="0.3">
      <c r="A20" s="2">
        <v>46108</v>
      </c>
      <c r="B20" s="1" t="s">
        <v>34</v>
      </c>
      <c r="C20" s="1" t="s">
        <v>8</v>
      </c>
      <c r="D20" s="1" t="s">
        <v>9</v>
      </c>
      <c r="E20" s="1" t="s">
        <v>10</v>
      </c>
      <c r="F20" s="1" t="s">
        <v>462</v>
      </c>
      <c r="G20" s="5">
        <v>814.81</v>
      </c>
      <c r="H20" s="3" t="s">
        <v>12</v>
      </c>
    </row>
    <row r="21" spans="1:8" x14ac:dyDescent="0.3">
      <c r="A21" s="2">
        <v>46108</v>
      </c>
      <c r="B21" s="1" t="s">
        <v>34</v>
      </c>
      <c r="C21" s="1" t="s">
        <v>8</v>
      </c>
      <c r="D21" s="1" t="s">
        <v>9</v>
      </c>
      <c r="E21" s="1" t="s">
        <v>10</v>
      </c>
      <c r="F21" s="1" t="s">
        <v>463</v>
      </c>
      <c r="G21" s="5">
        <v>875.62</v>
      </c>
      <c r="H21" s="3" t="s">
        <v>12</v>
      </c>
    </row>
    <row r="22" spans="1:8" x14ac:dyDescent="0.3">
      <c r="A22" s="2">
        <v>46108</v>
      </c>
      <c r="B22" s="1" t="s">
        <v>25</v>
      </c>
      <c r="C22" s="1" t="s">
        <v>20</v>
      </c>
      <c r="D22" s="1" t="s">
        <v>9</v>
      </c>
      <c r="E22" s="1" t="s">
        <v>28</v>
      </c>
      <c r="F22" s="1" t="s">
        <v>464</v>
      </c>
      <c r="G22" s="5">
        <v>7893.98</v>
      </c>
      <c r="H22" s="3" t="s">
        <v>12</v>
      </c>
    </row>
    <row r="23" spans="1:8" x14ac:dyDescent="0.3">
      <c r="A23" s="2">
        <v>46108</v>
      </c>
      <c r="B23" s="1" t="s">
        <v>55</v>
      </c>
      <c r="C23" s="1" t="s">
        <v>20</v>
      </c>
      <c r="D23" s="1" t="s">
        <v>9</v>
      </c>
      <c r="E23" s="1" t="s">
        <v>28</v>
      </c>
      <c r="F23" s="1" t="s">
        <v>465</v>
      </c>
      <c r="G23" s="5">
        <v>8721</v>
      </c>
      <c r="H23" s="3" t="s">
        <v>12</v>
      </c>
    </row>
    <row r="24" spans="1:8" x14ac:dyDescent="0.3">
      <c r="A24" s="2">
        <v>46108</v>
      </c>
      <c r="B24" s="1" t="s">
        <v>17</v>
      </c>
      <c r="C24" s="1" t="s">
        <v>20</v>
      </c>
      <c r="D24" s="1" t="s">
        <v>9</v>
      </c>
      <c r="E24" s="1" t="s">
        <v>10</v>
      </c>
      <c r="F24" s="1" t="s">
        <v>466</v>
      </c>
      <c r="G24" s="5">
        <v>327.76</v>
      </c>
      <c r="H24" s="3" t="s">
        <v>12</v>
      </c>
    </row>
    <row r="25" spans="1:8" x14ac:dyDescent="0.3">
      <c r="A25" s="2">
        <v>46108</v>
      </c>
      <c r="B25" s="1" t="s">
        <v>25</v>
      </c>
      <c r="C25" s="1" t="s">
        <v>20</v>
      </c>
      <c r="D25" s="1" t="s">
        <v>9</v>
      </c>
      <c r="E25" s="1" t="s">
        <v>26</v>
      </c>
      <c r="F25" s="1" t="s">
        <v>464</v>
      </c>
      <c r="G25" s="5">
        <v>160695.19</v>
      </c>
      <c r="H25" s="3" t="s">
        <v>12</v>
      </c>
    </row>
    <row r="26" spans="1:8" x14ac:dyDescent="0.3">
      <c r="A26" s="2">
        <v>46108</v>
      </c>
      <c r="B26" s="1" t="s">
        <v>13</v>
      </c>
      <c r="C26" s="1" t="s">
        <v>30</v>
      </c>
      <c r="D26" s="1" t="s">
        <v>9</v>
      </c>
      <c r="E26" s="1" t="s">
        <v>10</v>
      </c>
      <c r="F26" s="1" t="s">
        <v>467</v>
      </c>
      <c r="G26" s="5">
        <v>169</v>
      </c>
      <c r="H26" s="3" t="s">
        <v>12</v>
      </c>
    </row>
    <row r="27" spans="1:8" x14ac:dyDescent="0.3">
      <c r="A27" s="2">
        <v>46107</v>
      </c>
      <c r="B27" s="1" t="s">
        <v>180</v>
      </c>
      <c r="C27" s="1" t="s">
        <v>8</v>
      </c>
      <c r="D27" s="1" t="s">
        <v>9</v>
      </c>
      <c r="E27" s="1" t="s">
        <v>10</v>
      </c>
      <c r="F27" s="1" t="s">
        <v>468</v>
      </c>
      <c r="G27" s="5">
        <v>195</v>
      </c>
      <c r="H27" s="3" t="s">
        <v>12</v>
      </c>
    </row>
    <row r="28" spans="1:8" x14ac:dyDescent="0.3">
      <c r="A28" s="2">
        <v>46106</v>
      </c>
      <c r="B28" s="1" t="s">
        <v>60</v>
      </c>
      <c r="C28" s="1" t="s">
        <v>8</v>
      </c>
      <c r="D28" s="1" t="s">
        <v>9</v>
      </c>
      <c r="E28" s="1" t="s">
        <v>10</v>
      </c>
      <c r="F28" s="1" t="s">
        <v>469</v>
      </c>
      <c r="G28" s="5">
        <v>7192</v>
      </c>
      <c r="H28" s="3" t="s">
        <v>12</v>
      </c>
    </row>
    <row r="29" spans="1:8" x14ac:dyDescent="0.3">
      <c r="A29" s="2">
        <v>46106</v>
      </c>
      <c r="B29" s="1" t="s">
        <v>29</v>
      </c>
      <c r="C29" s="1" t="s">
        <v>8</v>
      </c>
      <c r="D29" s="1" t="s">
        <v>9</v>
      </c>
      <c r="E29" s="1" t="s">
        <v>10</v>
      </c>
      <c r="F29" s="1" t="s">
        <v>470</v>
      </c>
      <c r="G29" s="5">
        <v>6785.06</v>
      </c>
      <c r="H29" s="3" t="s">
        <v>12</v>
      </c>
    </row>
    <row r="30" spans="1:8" x14ac:dyDescent="0.3">
      <c r="A30" s="2">
        <v>46106</v>
      </c>
      <c r="B30" s="1" t="s">
        <v>163</v>
      </c>
      <c r="C30" s="1" t="s">
        <v>8</v>
      </c>
      <c r="D30" s="1" t="s">
        <v>9</v>
      </c>
      <c r="E30" s="1" t="s">
        <v>10</v>
      </c>
      <c r="F30" s="1" t="s">
        <v>471</v>
      </c>
      <c r="G30" s="5">
        <v>63</v>
      </c>
      <c r="H30" s="3" t="s">
        <v>12</v>
      </c>
    </row>
    <row r="31" spans="1:8" x14ac:dyDescent="0.3">
      <c r="A31" s="2">
        <v>46106</v>
      </c>
      <c r="B31" s="1" t="s">
        <v>15</v>
      </c>
      <c r="C31" s="1" t="s">
        <v>8</v>
      </c>
      <c r="D31" s="1" t="s">
        <v>9</v>
      </c>
      <c r="E31" s="1" t="s">
        <v>10</v>
      </c>
      <c r="F31" s="1" t="s">
        <v>472</v>
      </c>
      <c r="G31" s="5">
        <v>125</v>
      </c>
      <c r="H31" s="3" t="s">
        <v>12</v>
      </c>
    </row>
    <row r="32" spans="1:8" x14ac:dyDescent="0.3">
      <c r="A32" s="2">
        <v>46106</v>
      </c>
      <c r="B32" s="1" t="s">
        <v>34</v>
      </c>
      <c r="C32" s="1" t="s">
        <v>8</v>
      </c>
      <c r="D32" s="1" t="s">
        <v>9</v>
      </c>
      <c r="E32" s="1" t="s">
        <v>10</v>
      </c>
      <c r="F32" s="1" t="s">
        <v>473</v>
      </c>
      <c r="G32" s="5">
        <v>1131.56</v>
      </c>
      <c r="H32" s="3" t="s">
        <v>12</v>
      </c>
    </row>
    <row r="33" spans="1:8" x14ac:dyDescent="0.3">
      <c r="A33" s="2">
        <v>46106</v>
      </c>
      <c r="B33" s="1" t="s">
        <v>79</v>
      </c>
      <c r="C33" s="1" t="s">
        <v>8</v>
      </c>
      <c r="D33" s="1" t="s">
        <v>9</v>
      </c>
      <c r="E33" s="1" t="s">
        <v>10</v>
      </c>
      <c r="F33" s="1" t="s">
        <v>474</v>
      </c>
      <c r="G33" s="5">
        <v>189.83</v>
      </c>
      <c r="H33" s="3" t="s">
        <v>12</v>
      </c>
    </row>
    <row r="34" spans="1:8" x14ac:dyDescent="0.3">
      <c r="A34" s="2">
        <v>46106</v>
      </c>
      <c r="B34" s="1" t="s">
        <v>7</v>
      </c>
      <c r="C34" s="1" t="s">
        <v>8</v>
      </c>
      <c r="D34" s="1" t="s">
        <v>9</v>
      </c>
      <c r="E34" s="1" t="s">
        <v>10</v>
      </c>
      <c r="F34" s="1" t="s">
        <v>475</v>
      </c>
      <c r="G34" s="5">
        <v>735</v>
      </c>
      <c r="H34" s="3" t="s">
        <v>12</v>
      </c>
    </row>
    <row r="35" spans="1:8" x14ac:dyDescent="0.3">
      <c r="A35" s="2">
        <v>46106</v>
      </c>
      <c r="B35" s="1" t="s">
        <v>453</v>
      </c>
      <c r="C35" s="1" t="s">
        <v>43</v>
      </c>
      <c r="D35" s="1" t="s">
        <v>9</v>
      </c>
      <c r="E35" s="1" t="s">
        <v>10</v>
      </c>
      <c r="F35" s="1" t="s">
        <v>476</v>
      </c>
      <c r="G35" s="5">
        <v>16726.61</v>
      </c>
      <c r="H35" s="3" t="s">
        <v>12</v>
      </c>
    </row>
    <row r="36" spans="1:8" x14ac:dyDescent="0.3">
      <c r="A36" s="2">
        <v>46106</v>
      </c>
      <c r="B36" s="1" t="s">
        <v>623</v>
      </c>
      <c r="C36" s="1" t="s">
        <v>8</v>
      </c>
      <c r="D36" s="1" t="s">
        <v>9</v>
      </c>
      <c r="E36" s="1" t="s">
        <v>28</v>
      </c>
      <c r="F36" s="1" t="s">
        <v>477</v>
      </c>
      <c r="G36" s="5">
        <v>552.98</v>
      </c>
      <c r="H36" s="3" t="s">
        <v>12</v>
      </c>
    </row>
    <row r="37" spans="1:8" x14ac:dyDescent="0.3">
      <c r="A37" s="2">
        <v>46105</v>
      </c>
      <c r="B37" s="1" t="s">
        <v>34</v>
      </c>
      <c r="C37" s="1" t="s">
        <v>8</v>
      </c>
      <c r="D37" s="1" t="s">
        <v>23</v>
      </c>
      <c r="E37" s="1" t="s">
        <v>10</v>
      </c>
      <c r="F37" s="1" t="s">
        <v>478</v>
      </c>
      <c r="G37" s="5">
        <v>567.88</v>
      </c>
      <c r="H37" s="3" t="s">
        <v>12</v>
      </c>
    </row>
    <row r="38" spans="1:8" x14ac:dyDescent="0.3">
      <c r="A38" s="2">
        <v>46105</v>
      </c>
      <c r="B38" s="1" t="s">
        <v>34</v>
      </c>
      <c r="C38" s="1" t="s">
        <v>8</v>
      </c>
      <c r="D38" s="1" t="s">
        <v>9</v>
      </c>
      <c r="E38" s="1" t="s">
        <v>10</v>
      </c>
      <c r="F38" s="1" t="s">
        <v>479</v>
      </c>
      <c r="G38" s="5">
        <v>653.61</v>
      </c>
      <c r="H38" s="3" t="s">
        <v>12</v>
      </c>
    </row>
    <row r="39" spans="1:8" x14ac:dyDescent="0.3">
      <c r="A39" s="2">
        <v>46105</v>
      </c>
      <c r="B39" s="1" t="s">
        <v>34</v>
      </c>
      <c r="C39" s="1" t="s">
        <v>8</v>
      </c>
      <c r="D39" s="1" t="s">
        <v>9</v>
      </c>
      <c r="E39" s="1" t="s">
        <v>10</v>
      </c>
      <c r="F39" s="1" t="s">
        <v>480</v>
      </c>
      <c r="G39" s="5">
        <v>557.32000000000005</v>
      </c>
      <c r="H39" s="3" t="s">
        <v>12</v>
      </c>
    </row>
    <row r="40" spans="1:8" x14ac:dyDescent="0.3">
      <c r="A40" s="2">
        <v>46105</v>
      </c>
      <c r="B40" s="1" t="s">
        <v>45</v>
      </c>
      <c r="C40" s="1" t="s">
        <v>20</v>
      </c>
      <c r="D40" s="1" t="s">
        <v>9</v>
      </c>
      <c r="E40" s="1" t="s">
        <v>10</v>
      </c>
      <c r="F40" s="1" t="s">
        <v>481</v>
      </c>
      <c r="G40" s="5">
        <v>2981.5</v>
      </c>
      <c r="H40" s="3" t="s">
        <v>12</v>
      </c>
    </row>
    <row r="41" spans="1:8" x14ac:dyDescent="0.3">
      <c r="A41" s="2">
        <v>46105</v>
      </c>
      <c r="B41" s="1" t="s">
        <v>45</v>
      </c>
      <c r="C41" s="1" t="s">
        <v>20</v>
      </c>
      <c r="D41" s="1" t="s">
        <v>9</v>
      </c>
      <c r="E41" s="1" t="s">
        <v>10</v>
      </c>
      <c r="F41" s="1" t="s">
        <v>482</v>
      </c>
      <c r="G41" s="5">
        <v>8683.56</v>
      </c>
      <c r="H41" s="3" t="s">
        <v>12</v>
      </c>
    </row>
    <row r="42" spans="1:8" x14ac:dyDescent="0.3">
      <c r="A42" s="2">
        <v>46105</v>
      </c>
      <c r="B42" s="1" t="s">
        <v>169</v>
      </c>
      <c r="C42" s="1" t="s">
        <v>8</v>
      </c>
      <c r="D42" s="1" t="s">
        <v>9</v>
      </c>
      <c r="E42" s="1" t="s">
        <v>10</v>
      </c>
      <c r="F42" s="1" t="s">
        <v>483</v>
      </c>
      <c r="G42" s="5">
        <v>324.8</v>
      </c>
      <c r="H42" s="3" t="s">
        <v>12</v>
      </c>
    </row>
    <row r="43" spans="1:8" x14ac:dyDescent="0.3">
      <c r="A43" s="2">
        <v>46105</v>
      </c>
      <c r="B43" s="1" t="s">
        <v>29</v>
      </c>
      <c r="C43" s="1" t="s">
        <v>8</v>
      </c>
      <c r="D43" s="1" t="s">
        <v>9</v>
      </c>
      <c r="E43" s="1" t="s">
        <v>10</v>
      </c>
      <c r="F43" s="1" t="s">
        <v>484</v>
      </c>
      <c r="G43" s="5">
        <v>229</v>
      </c>
      <c r="H43" s="3" t="s">
        <v>12</v>
      </c>
    </row>
    <row r="44" spans="1:8" x14ac:dyDescent="0.3">
      <c r="A44" s="2">
        <v>46104</v>
      </c>
      <c r="B44" s="1" t="s">
        <v>60</v>
      </c>
      <c r="C44" s="1" t="s">
        <v>8</v>
      </c>
      <c r="D44" s="1" t="s">
        <v>9</v>
      </c>
      <c r="E44" s="1" t="s">
        <v>10</v>
      </c>
      <c r="F44" s="1" t="s">
        <v>485</v>
      </c>
      <c r="G44" s="5">
        <v>400.02</v>
      </c>
      <c r="H44" s="3" t="s">
        <v>12</v>
      </c>
    </row>
    <row r="45" spans="1:8" x14ac:dyDescent="0.3">
      <c r="A45" s="2">
        <v>46104</v>
      </c>
      <c r="B45" s="1" t="s">
        <v>7</v>
      </c>
      <c r="C45" s="1" t="s">
        <v>8</v>
      </c>
      <c r="D45" s="1" t="s">
        <v>9</v>
      </c>
      <c r="E45" s="1" t="s">
        <v>10</v>
      </c>
      <c r="F45" s="1" t="s">
        <v>486</v>
      </c>
      <c r="G45" s="5">
        <v>239</v>
      </c>
      <c r="H45" s="3" t="s">
        <v>12</v>
      </c>
    </row>
    <row r="46" spans="1:8" x14ac:dyDescent="0.3">
      <c r="A46" s="2">
        <v>46104</v>
      </c>
      <c r="B46" s="1" t="s">
        <v>34</v>
      </c>
      <c r="C46" s="1" t="s">
        <v>8</v>
      </c>
      <c r="D46" s="1" t="s">
        <v>9</v>
      </c>
      <c r="E46" s="1" t="s">
        <v>10</v>
      </c>
      <c r="F46" s="1" t="s">
        <v>487</v>
      </c>
      <c r="G46" s="5">
        <v>1186.3900000000001</v>
      </c>
      <c r="H46" s="3" t="s">
        <v>12</v>
      </c>
    </row>
    <row r="47" spans="1:8" x14ac:dyDescent="0.3">
      <c r="A47" s="2">
        <v>46104</v>
      </c>
      <c r="B47" s="1" t="s">
        <v>19</v>
      </c>
      <c r="C47" s="1" t="s">
        <v>102</v>
      </c>
      <c r="D47" s="1" t="s">
        <v>9</v>
      </c>
      <c r="E47" s="1" t="s">
        <v>10</v>
      </c>
      <c r="F47" s="1" t="s">
        <v>488</v>
      </c>
      <c r="G47" s="5">
        <v>6003.63</v>
      </c>
      <c r="H47" s="3" t="s">
        <v>12</v>
      </c>
    </row>
    <row r="48" spans="1:8" x14ac:dyDescent="0.3">
      <c r="A48" s="2">
        <v>46102</v>
      </c>
      <c r="B48" s="1" t="s">
        <v>79</v>
      </c>
      <c r="C48" s="1" t="s">
        <v>8</v>
      </c>
      <c r="D48" s="1" t="s">
        <v>9</v>
      </c>
      <c r="E48" s="1" t="s">
        <v>28</v>
      </c>
      <c r="F48" s="1" t="s">
        <v>489</v>
      </c>
      <c r="G48" s="5">
        <v>86.9</v>
      </c>
      <c r="H48" s="3" t="s">
        <v>12</v>
      </c>
    </row>
    <row r="49" spans="1:8" x14ac:dyDescent="0.3">
      <c r="A49" s="2">
        <v>46101</v>
      </c>
      <c r="B49" s="1" t="s">
        <v>25</v>
      </c>
      <c r="C49" s="1" t="s">
        <v>20</v>
      </c>
      <c r="D49" s="1" t="s">
        <v>9</v>
      </c>
      <c r="E49" s="1" t="s">
        <v>28</v>
      </c>
      <c r="F49" s="1" t="s">
        <v>490</v>
      </c>
      <c r="G49" s="5">
        <v>7893.98</v>
      </c>
      <c r="H49" s="3" t="s">
        <v>12</v>
      </c>
    </row>
    <row r="50" spans="1:8" x14ac:dyDescent="0.3">
      <c r="A50" s="2">
        <v>46101</v>
      </c>
      <c r="B50" s="1" t="s">
        <v>25</v>
      </c>
      <c r="C50" s="1" t="s">
        <v>20</v>
      </c>
      <c r="D50" s="1" t="s">
        <v>9</v>
      </c>
      <c r="E50" s="1" t="s">
        <v>26</v>
      </c>
      <c r="F50" s="1" t="s">
        <v>491</v>
      </c>
      <c r="G50" s="5">
        <v>162142.75</v>
      </c>
      <c r="H50" s="3" t="s">
        <v>12</v>
      </c>
    </row>
    <row r="51" spans="1:8" x14ac:dyDescent="0.3">
      <c r="A51" s="2">
        <v>46101</v>
      </c>
      <c r="B51" s="1" t="s">
        <v>60</v>
      </c>
      <c r="C51" s="1" t="s">
        <v>8</v>
      </c>
      <c r="D51" s="1" t="s">
        <v>9</v>
      </c>
      <c r="E51" s="1" t="s">
        <v>10</v>
      </c>
      <c r="F51" s="1" t="s">
        <v>492</v>
      </c>
      <c r="G51" s="5">
        <v>690</v>
      </c>
      <c r="H51" s="3" t="s">
        <v>12</v>
      </c>
    </row>
    <row r="52" spans="1:8" x14ac:dyDescent="0.3">
      <c r="A52" s="2">
        <v>46101</v>
      </c>
      <c r="B52" s="1" t="s">
        <v>60</v>
      </c>
      <c r="C52" s="1" t="s">
        <v>30</v>
      </c>
      <c r="D52" s="1" t="s">
        <v>9</v>
      </c>
      <c r="E52" s="1" t="s">
        <v>10</v>
      </c>
      <c r="F52" s="1" t="s">
        <v>493</v>
      </c>
      <c r="G52" s="5">
        <v>350</v>
      </c>
      <c r="H52" s="3" t="s">
        <v>12</v>
      </c>
    </row>
    <row r="53" spans="1:8" x14ac:dyDescent="0.3">
      <c r="A53" s="2">
        <v>46101</v>
      </c>
      <c r="B53" s="1" t="s">
        <v>79</v>
      </c>
      <c r="C53" s="1" t="s">
        <v>8</v>
      </c>
      <c r="D53" s="1" t="s">
        <v>9</v>
      </c>
      <c r="E53" s="1" t="s">
        <v>28</v>
      </c>
      <c r="F53" s="1" t="s">
        <v>494</v>
      </c>
      <c r="G53" s="5">
        <v>650</v>
      </c>
      <c r="H53" s="3" t="s">
        <v>12</v>
      </c>
    </row>
    <row r="54" spans="1:8" x14ac:dyDescent="0.3">
      <c r="A54" s="2">
        <v>46101</v>
      </c>
      <c r="B54" s="1" t="s">
        <v>50</v>
      </c>
      <c r="C54" s="1" t="s">
        <v>30</v>
      </c>
      <c r="D54" s="1" t="s">
        <v>9</v>
      </c>
      <c r="E54" s="1" t="s">
        <v>28</v>
      </c>
      <c r="F54" s="1" t="s">
        <v>495</v>
      </c>
      <c r="G54" s="5">
        <v>93</v>
      </c>
      <c r="H54" s="3" t="s">
        <v>12</v>
      </c>
    </row>
    <row r="55" spans="1:8" x14ac:dyDescent="0.3">
      <c r="A55" s="2">
        <v>46101</v>
      </c>
      <c r="B55" s="1" t="s">
        <v>163</v>
      </c>
      <c r="C55" s="1" t="s">
        <v>8</v>
      </c>
      <c r="D55" s="1" t="s">
        <v>9</v>
      </c>
      <c r="E55" s="1" t="s">
        <v>28</v>
      </c>
      <c r="F55" s="1" t="s">
        <v>496</v>
      </c>
      <c r="G55" s="5">
        <v>156</v>
      </c>
      <c r="H55" s="3" t="s">
        <v>12</v>
      </c>
    </row>
    <row r="56" spans="1:8" x14ac:dyDescent="0.3">
      <c r="A56" s="2">
        <v>46101</v>
      </c>
      <c r="B56" s="1" t="s">
        <v>7</v>
      </c>
      <c r="C56" s="1" t="s">
        <v>8</v>
      </c>
      <c r="D56" s="1" t="s">
        <v>9</v>
      </c>
      <c r="E56" s="1" t="s">
        <v>10</v>
      </c>
      <c r="F56" s="1" t="s">
        <v>497</v>
      </c>
      <c r="G56" s="5">
        <v>1280</v>
      </c>
      <c r="H56" s="3" t="s">
        <v>12</v>
      </c>
    </row>
    <row r="57" spans="1:8" x14ac:dyDescent="0.3">
      <c r="A57" s="2">
        <v>46101</v>
      </c>
      <c r="B57" s="1" t="s">
        <v>34</v>
      </c>
      <c r="C57" s="1" t="s">
        <v>8</v>
      </c>
      <c r="D57" s="1" t="s">
        <v>9</v>
      </c>
      <c r="E57" s="1" t="s">
        <v>10</v>
      </c>
      <c r="F57" s="1" t="s">
        <v>498</v>
      </c>
      <c r="G57" s="5">
        <v>1403.36</v>
      </c>
      <c r="H57" s="3" t="s">
        <v>12</v>
      </c>
    </row>
    <row r="58" spans="1:8" x14ac:dyDescent="0.3">
      <c r="A58" s="2">
        <v>46101</v>
      </c>
      <c r="B58" s="1" t="s">
        <v>7</v>
      </c>
      <c r="C58" s="1" t="s">
        <v>8</v>
      </c>
      <c r="D58" s="1" t="s">
        <v>9</v>
      </c>
      <c r="E58" s="1" t="s">
        <v>10</v>
      </c>
      <c r="F58" s="1" t="s">
        <v>499</v>
      </c>
      <c r="G58" s="5">
        <v>437</v>
      </c>
      <c r="H58" s="3" t="s">
        <v>12</v>
      </c>
    </row>
    <row r="59" spans="1:8" x14ac:dyDescent="0.3">
      <c r="A59" s="2">
        <v>46101</v>
      </c>
      <c r="B59" s="1" t="s">
        <v>15</v>
      </c>
      <c r="C59" s="1" t="s">
        <v>8</v>
      </c>
      <c r="D59" s="1" t="s">
        <v>9</v>
      </c>
      <c r="E59" s="1" t="s">
        <v>10</v>
      </c>
      <c r="F59" s="1" t="s">
        <v>500</v>
      </c>
      <c r="G59" s="5">
        <v>4171.5</v>
      </c>
      <c r="H59" s="3" t="s">
        <v>12</v>
      </c>
    </row>
    <row r="60" spans="1:8" x14ac:dyDescent="0.3">
      <c r="A60" s="2">
        <v>46101</v>
      </c>
      <c r="B60" s="1" t="s">
        <v>34</v>
      </c>
      <c r="C60" s="1" t="s">
        <v>8</v>
      </c>
      <c r="D60" s="1" t="s">
        <v>9</v>
      </c>
      <c r="E60" s="1" t="s">
        <v>10</v>
      </c>
      <c r="F60" s="1" t="s">
        <v>501</v>
      </c>
      <c r="G60" s="5">
        <v>780.61</v>
      </c>
      <c r="H60" s="3" t="s">
        <v>12</v>
      </c>
    </row>
    <row r="61" spans="1:8" x14ac:dyDescent="0.3">
      <c r="A61" s="2">
        <v>46101</v>
      </c>
      <c r="B61" s="1" t="s">
        <v>154</v>
      </c>
      <c r="C61" s="1" t="s">
        <v>8</v>
      </c>
      <c r="D61" s="1" t="s">
        <v>9</v>
      </c>
      <c r="E61" s="1" t="s">
        <v>10</v>
      </c>
      <c r="F61" s="1" t="s">
        <v>334</v>
      </c>
      <c r="G61" s="5">
        <v>11665.16</v>
      </c>
      <c r="H61" s="3" t="s">
        <v>12</v>
      </c>
    </row>
    <row r="62" spans="1:8" x14ac:dyDescent="0.3">
      <c r="A62" s="2">
        <v>46101</v>
      </c>
      <c r="B62" s="1" t="s">
        <v>34</v>
      </c>
      <c r="C62" s="1" t="s">
        <v>8</v>
      </c>
      <c r="D62" s="1" t="s">
        <v>9</v>
      </c>
      <c r="E62" s="1" t="s">
        <v>10</v>
      </c>
      <c r="F62" s="1" t="s">
        <v>502</v>
      </c>
      <c r="G62" s="5">
        <v>524.62</v>
      </c>
      <c r="H62" s="3" t="s">
        <v>12</v>
      </c>
    </row>
    <row r="63" spans="1:8" x14ac:dyDescent="0.3">
      <c r="A63" s="2">
        <v>46101</v>
      </c>
      <c r="B63" s="1" t="s">
        <v>17</v>
      </c>
      <c r="C63" s="1" t="s">
        <v>20</v>
      </c>
      <c r="D63" s="1" t="s">
        <v>9</v>
      </c>
      <c r="E63" s="1" t="s">
        <v>10</v>
      </c>
      <c r="F63" s="1" t="s">
        <v>503</v>
      </c>
      <c r="G63" s="5">
        <v>327.76</v>
      </c>
      <c r="H63" s="3" t="s">
        <v>12</v>
      </c>
    </row>
    <row r="64" spans="1:8" x14ac:dyDescent="0.3">
      <c r="A64" s="2">
        <v>46101</v>
      </c>
      <c r="B64" s="1" t="s">
        <v>13</v>
      </c>
      <c r="C64" s="1" t="s">
        <v>30</v>
      </c>
      <c r="D64" s="1" t="s">
        <v>9</v>
      </c>
      <c r="E64" s="1" t="s">
        <v>10</v>
      </c>
      <c r="F64" s="1" t="s">
        <v>504</v>
      </c>
      <c r="G64" s="5">
        <v>320</v>
      </c>
      <c r="H64" s="3" t="s">
        <v>12</v>
      </c>
    </row>
    <row r="65" spans="1:8" x14ac:dyDescent="0.3">
      <c r="A65" s="2">
        <v>46100</v>
      </c>
      <c r="B65" s="1" t="s">
        <v>60</v>
      </c>
      <c r="C65" s="1" t="s">
        <v>8</v>
      </c>
      <c r="D65" s="1" t="s">
        <v>9</v>
      </c>
      <c r="E65" s="1" t="s">
        <v>10</v>
      </c>
      <c r="F65" s="1" t="s">
        <v>505</v>
      </c>
      <c r="G65" s="5">
        <v>4983.07</v>
      </c>
      <c r="H65" s="3" t="s">
        <v>12</v>
      </c>
    </row>
    <row r="66" spans="1:8" x14ac:dyDescent="0.3">
      <c r="A66" s="2">
        <v>46100</v>
      </c>
      <c r="B66" s="1" t="s">
        <v>34</v>
      </c>
      <c r="C66" s="1" t="s">
        <v>8</v>
      </c>
      <c r="D66" s="1" t="s">
        <v>9</v>
      </c>
      <c r="E66" s="1" t="s">
        <v>10</v>
      </c>
      <c r="F66" s="1" t="s">
        <v>506</v>
      </c>
      <c r="G66" s="5">
        <v>694.87</v>
      </c>
      <c r="H66" s="3" t="s">
        <v>12</v>
      </c>
    </row>
    <row r="67" spans="1:8" x14ac:dyDescent="0.3">
      <c r="A67" s="2">
        <v>46100</v>
      </c>
      <c r="B67" s="1" t="s">
        <v>34</v>
      </c>
      <c r="C67" s="1" t="s">
        <v>8</v>
      </c>
      <c r="D67" s="1" t="s">
        <v>9</v>
      </c>
      <c r="E67" s="1" t="s">
        <v>10</v>
      </c>
      <c r="F67" s="1" t="s">
        <v>507</v>
      </c>
      <c r="G67" s="5">
        <v>1948.19</v>
      </c>
      <c r="H67" s="3" t="s">
        <v>12</v>
      </c>
    </row>
    <row r="68" spans="1:8" x14ac:dyDescent="0.3">
      <c r="A68" s="2">
        <v>46100</v>
      </c>
      <c r="B68" s="1" t="s">
        <v>169</v>
      </c>
      <c r="C68" s="1" t="s">
        <v>8</v>
      </c>
      <c r="D68" s="1" t="s">
        <v>9</v>
      </c>
      <c r="E68" s="1" t="s">
        <v>10</v>
      </c>
      <c r="F68" s="1" t="s">
        <v>508</v>
      </c>
      <c r="G68" s="5">
        <v>324.8</v>
      </c>
      <c r="H68" s="3" t="s">
        <v>12</v>
      </c>
    </row>
    <row r="69" spans="1:8" x14ac:dyDescent="0.3">
      <c r="A69" s="2">
        <v>46100</v>
      </c>
      <c r="B69" s="1" t="s">
        <v>62</v>
      </c>
      <c r="C69" s="1" t="s">
        <v>8</v>
      </c>
      <c r="D69" s="1" t="s">
        <v>9</v>
      </c>
      <c r="E69" s="1" t="s">
        <v>10</v>
      </c>
      <c r="F69" s="1" t="s">
        <v>509</v>
      </c>
      <c r="G69" s="5">
        <v>749</v>
      </c>
      <c r="H69" s="3" t="s">
        <v>12</v>
      </c>
    </row>
    <row r="70" spans="1:8" x14ac:dyDescent="0.3">
      <c r="A70" s="2">
        <v>46100</v>
      </c>
      <c r="B70" s="1" t="s">
        <v>62</v>
      </c>
      <c r="C70" s="1" t="s">
        <v>8</v>
      </c>
      <c r="D70" s="1" t="s">
        <v>9</v>
      </c>
      <c r="E70" s="1" t="s">
        <v>10</v>
      </c>
      <c r="F70" s="1" t="s">
        <v>510</v>
      </c>
      <c r="G70" s="5">
        <v>1000</v>
      </c>
      <c r="H70" s="3" t="s">
        <v>12</v>
      </c>
    </row>
    <row r="71" spans="1:8" x14ac:dyDescent="0.3">
      <c r="A71" s="2">
        <v>46099</v>
      </c>
      <c r="B71" s="1" t="s">
        <v>13</v>
      </c>
      <c r="C71" s="1" t="s">
        <v>30</v>
      </c>
      <c r="D71" s="1" t="s">
        <v>9</v>
      </c>
      <c r="E71" s="1" t="s">
        <v>10</v>
      </c>
      <c r="F71" s="1" t="s">
        <v>511</v>
      </c>
      <c r="G71" s="5">
        <v>62</v>
      </c>
      <c r="H71" s="3" t="s">
        <v>12</v>
      </c>
    </row>
    <row r="72" spans="1:8" x14ac:dyDescent="0.3">
      <c r="A72" s="2">
        <v>46099</v>
      </c>
      <c r="B72" s="1" t="s">
        <v>79</v>
      </c>
      <c r="C72" s="1" t="s">
        <v>30</v>
      </c>
      <c r="D72" s="1" t="s">
        <v>9</v>
      </c>
      <c r="E72" s="1" t="s">
        <v>10</v>
      </c>
      <c r="F72" s="1" t="s">
        <v>512</v>
      </c>
      <c r="G72" s="5">
        <v>48</v>
      </c>
      <c r="H72" s="3" t="s">
        <v>12</v>
      </c>
    </row>
    <row r="73" spans="1:8" x14ac:dyDescent="0.3">
      <c r="A73" s="2">
        <v>46099</v>
      </c>
      <c r="B73" s="1" t="s">
        <v>79</v>
      </c>
      <c r="C73" s="1" t="s">
        <v>8</v>
      </c>
      <c r="D73" s="1" t="s">
        <v>9</v>
      </c>
      <c r="E73" s="1" t="s">
        <v>10</v>
      </c>
      <c r="F73" s="1" t="s">
        <v>513</v>
      </c>
      <c r="G73" s="5">
        <v>125</v>
      </c>
      <c r="H73" s="3" t="s">
        <v>12</v>
      </c>
    </row>
    <row r="74" spans="1:8" x14ac:dyDescent="0.3">
      <c r="A74" s="2">
        <v>46099</v>
      </c>
      <c r="B74" s="1" t="s">
        <v>34</v>
      </c>
      <c r="C74" s="1" t="s">
        <v>8</v>
      </c>
      <c r="D74" s="1" t="s">
        <v>9</v>
      </c>
      <c r="E74" s="1" t="s">
        <v>10</v>
      </c>
      <c r="F74" s="1" t="s">
        <v>514</v>
      </c>
      <c r="G74" s="5">
        <v>782.43</v>
      </c>
      <c r="H74" s="3" t="s">
        <v>12</v>
      </c>
    </row>
    <row r="75" spans="1:8" x14ac:dyDescent="0.3">
      <c r="A75" s="2">
        <v>46099</v>
      </c>
      <c r="B75" s="1" t="s">
        <v>34</v>
      </c>
      <c r="C75" s="1" t="s">
        <v>8</v>
      </c>
      <c r="D75" s="1" t="s">
        <v>9</v>
      </c>
      <c r="E75" s="1" t="s">
        <v>10</v>
      </c>
      <c r="F75" s="1" t="s">
        <v>515</v>
      </c>
      <c r="G75" s="5">
        <v>443.26</v>
      </c>
      <c r="H75" s="3" t="s">
        <v>12</v>
      </c>
    </row>
    <row r="76" spans="1:8" x14ac:dyDescent="0.3">
      <c r="A76" s="2">
        <v>46099</v>
      </c>
      <c r="B76" s="1" t="s">
        <v>34</v>
      </c>
      <c r="C76" s="1" t="s">
        <v>8</v>
      </c>
      <c r="D76" s="1" t="s">
        <v>9</v>
      </c>
      <c r="E76" s="1" t="s">
        <v>10</v>
      </c>
      <c r="F76" s="1" t="s">
        <v>516</v>
      </c>
      <c r="G76" s="5">
        <v>1040.6199999999999</v>
      </c>
      <c r="H76" s="3" t="s">
        <v>12</v>
      </c>
    </row>
    <row r="77" spans="1:8" x14ac:dyDescent="0.3">
      <c r="A77" s="2">
        <v>46099</v>
      </c>
      <c r="B77" s="1" t="s">
        <v>113</v>
      </c>
      <c r="C77" s="1" t="s">
        <v>20</v>
      </c>
      <c r="D77" s="1" t="s">
        <v>9</v>
      </c>
      <c r="E77" s="1" t="s">
        <v>10</v>
      </c>
      <c r="F77" s="1" t="s">
        <v>517</v>
      </c>
      <c r="G77" s="5">
        <v>14930</v>
      </c>
      <c r="H77" s="3" t="s">
        <v>12</v>
      </c>
    </row>
    <row r="78" spans="1:8" x14ac:dyDescent="0.3">
      <c r="A78" s="2">
        <v>46099</v>
      </c>
      <c r="B78" s="1" t="s">
        <v>13</v>
      </c>
      <c r="C78" s="1" t="s">
        <v>8</v>
      </c>
      <c r="D78" s="1" t="s">
        <v>9</v>
      </c>
      <c r="E78" s="1" t="s">
        <v>10</v>
      </c>
      <c r="F78" s="1" t="s">
        <v>518</v>
      </c>
      <c r="G78" s="5">
        <v>230</v>
      </c>
      <c r="H78" s="3" t="s">
        <v>12</v>
      </c>
    </row>
    <row r="79" spans="1:8" x14ac:dyDescent="0.3">
      <c r="A79" s="2">
        <v>46098</v>
      </c>
      <c r="B79" s="1" t="s">
        <v>218</v>
      </c>
      <c r="C79" s="1" t="s">
        <v>8</v>
      </c>
      <c r="D79" s="1" t="s">
        <v>9</v>
      </c>
      <c r="E79" s="1" t="s">
        <v>10</v>
      </c>
      <c r="F79" s="1" t="s">
        <v>519</v>
      </c>
      <c r="G79" s="5">
        <v>1384.17</v>
      </c>
      <c r="H79" s="3" t="s">
        <v>12</v>
      </c>
    </row>
    <row r="80" spans="1:8" x14ac:dyDescent="0.3">
      <c r="A80" s="2">
        <v>46098</v>
      </c>
      <c r="B80" s="1" t="s">
        <v>60</v>
      </c>
      <c r="C80" s="1" t="s">
        <v>8</v>
      </c>
      <c r="D80" s="1" t="s">
        <v>9</v>
      </c>
      <c r="E80" s="1" t="s">
        <v>10</v>
      </c>
      <c r="F80" s="1" t="s">
        <v>520</v>
      </c>
      <c r="G80" s="5">
        <v>126</v>
      </c>
      <c r="H80" s="3" t="s">
        <v>12</v>
      </c>
    </row>
    <row r="81" spans="1:8" x14ac:dyDescent="0.3">
      <c r="A81" s="2">
        <v>46098</v>
      </c>
      <c r="B81" s="1" t="s">
        <v>218</v>
      </c>
      <c r="C81" s="1" t="s">
        <v>8</v>
      </c>
      <c r="D81" s="1" t="s">
        <v>9</v>
      </c>
      <c r="E81" s="1" t="s">
        <v>10</v>
      </c>
      <c r="F81" s="1" t="s">
        <v>521</v>
      </c>
      <c r="G81" s="5">
        <v>41.5</v>
      </c>
      <c r="H81" s="3" t="s">
        <v>12</v>
      </c>
    </row>
    <row r="82" spans="1:8" x14ac:dyDescent="0.3">
      <c r="A82" s="2">
        <v>46098</v>
      </c>
      <c r="B82" s="1" t="s">
        <v>34</v>
      </c>
      <c r="C82" s="1" t="s">
        <v>8</v>
      </c>
      <c r="D82" s="1" t="s">
        <v>9</v>
      </c>
      <c r="E82" s="1" t="s">
        <v>10</v>
      </c>
      <c r="F82" s="1" t="s">
        <v>522</v>
      </c>
      <c r="G82" s="5">
        <v>1416.25</v>
      </c>
      <c r="H82" s="3" t="s">
        <v>12</v>
      </c>
    </row>
    <row r="83" spans="1:8" x14ac:dyDescent="0.3">
      <c r="A83" s="2">
        <v>46098</v>
      </c>
      <c r="B83" s="1" t="s">
        <v>34</v>
      </c>
      <c r="C83" s="1" t="s">
        <v>8</v>
      </c>
      <c r="D83" s="1" t="s">
        <v>9</v>
      </c>
      <c r="E83" s="1" t="s">
        <v>10</v>
      </c>
      <c r="F83" s="1" t="s">
        <v>523</v>
      </c>
      <c r="G83" s="5">
        <v>1290.1300000000001</v>
      </c>
      <c r="H83" s="3" t="s">
        <v>12</v>
      </c>
    </row>
    <row r="84" spans="1:8" x14ac:dyDescent="0.3">
      <c r="A84" s="2">
        <v>46098</v>
      </c>
      <c r="B84" s="1" t="s">
        <v>135</v>
      </c>
      <c r="C84" s="1" t="s">
        <v>8</v>
      </c>
      <c r="D84" s="1" t="s">
        <v>9</v>
      </c>
      <c r="E84" s="1" t="s">
        <v>10</v>
      </c>
      <c r="F84" s="1" t="s">
        <v>524</v>
      </c>
      <c r="G84" s="5">
        <v>172272.73</v>
      </c>
      <c r="H84" s="3" t="s">
        <v>12</v>
      </c>
    </row>
    <row r="85" spans="1:8" x14ac:dyDescent="0.3">
      <c r="A85" s="2">
        <v>46098</v>
      </c>
      <c r="B85" s="1" t="s">
        <v>370</v>
      </c>
      <c r="C85" s="1" t="s">
        <v>8</v>
      </c>
      <c r="D85" s="1" t="s">
        <v>9</v>
      </c>
      <c r="E85" s="1" t="s">
        <v>10</v>
      </c>
      <c r="F85" s="1" t="s">
        <v>525</v>
      </c>
      <c r="G85" s="5">
        <v>17868</v>
      </c>
      <c r="H85" s="3" t="s">
        <v>12</v>
      </c>
    </row>
    <row r="86" spans="1:8" x14ac:dyDescent="0.3">
      <c r="A86" s="2">
        <v>46098</v>
      </c>
      <c r="B86" s="1" t="s">
        <v>45</v>
      </c>
      <c r="C86" s="1" t="s">
        <v>8</v>
      </c>
      <c r="D86" s="1" t="s">
        <v>9</v>
      </c>
      <c r="E86" s="1" t="s">
        <v>10</v>
      </c>
      <c r="F86" s="1" t="s">
        <v>526</v>
      </c>
      <c r="G86" s="5">
        <v>119</v>
      </c>
      <c r="H86" s="3" t="s">
        <v>12</v>
      </c>
    </row>
    <row r="87" spans="1:8" x14ac:dyDescent="0.3">
      <c r="A87" s="2">
        <v>46097</v>
      </c>
      <c r="B87" s="1" t="s">
        <v>34</v>
      </c>
      <c r="C87" s="1" t="s">
        <v>102</v>
      </c>
      <c r="D87" s="1" t="s">
        <v>9</v>
      </c>
      <c r="E87" s="1" t="s">
        <v>10</v>
      </c>
      <c r="F87" s="1" t="s">
        <v>527</v>
      </c>
      <c r="G87" s="5">
        <v>1409.1</v>
      </c>
      <c r="H87" s="3" t="s">
        <v>12</v>
      </c>
    </row>
    <row r="88" spans="1:8" x14ac:dyDescent="0.3">
      <c r="A88" s="2">
        <v>46096</v>
      </c>
      <c r="B88" s="1" t="s">
        <v>163</v>
      </c>
      <c r="C88" s="1" t="s">
        <v>8</v>
      </c>
      <c r="D88" s="1" t="s">
        <v>9</v>
      </c>
      <c r="E88" s="1" t="s">
        <v>10</v>
      </c>
      <c r="F88" s="1" t="s">
        <v>528</v>
      </c>
      <c r="G88" s="5">
        <v>149</v>
      </c>
      <c r="H88" s="3" t="s">
        <v>12</v>
      </c>
    </row>
    <row r="89" spans="1:8" x14ac:dyDescent="0.3">
      <c r="A89" s="2">
        <v>46095</v>
      </c>
      <c r="B89" s="1" t="s">
        <v>50</v>
      </c>
      <c r="C89" s="1" t="s">
        <v>8</v>
      </c>
      <c r="D89" s="1" t="s">
        <v>9</v>
      </c>
      <c r="E89" s="1" t="s">
        <v>10</v>
      </c>
      <c r="F89" s="1" t="s">
        <v>529</v>
      </c>
      <c r="G89" s="5">
        <v>46.5</v>
      </c>
      <c r="H89" s="3" t="s">
        <v>12</v>
      </c>
    </row>
    <row r="90" spans="1:8" x14ac:dyDescent="0.3">
      <c r="A90" s="2">
        <v>46094</v>
      </c>
      <c r="B90" s="1" t="s">
        <v>25</v>
      </c>
      <c r="C90" s="1" t="s">
        <v>20</v>
      </c>
      <c r="D90" s="1" t="s">
        <v>9</v>
      </c>
      <c r="E90" s="1" t="s">
        <v>26</v>
      </c>
      <c r="F90" s="1" t="s">
        <v>530</v>
      </c>
      <c r="G90" s="5">
        <v>170437.3</v>
      </c>
      <c r="H90" s="3" t="s">
        <v>12</v>
      </c>
    </row>
    <row r="91" spans="1:8" x14ac:dyDescent="0.3">
      <c r="A91" s="2">
        <v>46094</v>
      </c>
      <c r="B91" s="1" t="s">
        <v>25</v>
      </c>
      <c r="C91" s="1" t="s">
        <v>20</v>
      </c>
      <c r="D91" s="1" t="s">
        <v>9</v>
      </c>
      <c r="E91" s="1" t="s">
        <v>28</v>
      </c>
      <c r="F91" s="1" t="s">
        <v>530</v>
      </c>
      <c r="G91" s="5">
        <v>7845.7</v>
      </c>
      <c r="H91" s="3" t="s">
        <v>12</v>
      </c>
    </row>
    <row r="92" spans="1:8" x14ac:dyDescent="0.3">
      <c r="A92" s="2">
        <v>46094</v>
      </c>
      <c r="B92" s="1" t="s">
        <v>70</v>
      </c>
      <c r="C92" s="1" t="s">
        <v>20</v>
      </c>
      <c r="D92" s="1" t="s">
        <v>9</v>
      </c>
      <c r="E92" s="1" t="s">
        <v>71</v>
      </c>
      <c r="F92" s="1" t="s">
        <v>531</v>
      </c>
      <c r="G92" s="5">
        <v>5000</v>
      </c>
      <c r="H92" s="3" t="s">
        <v>12</v>
      </c>
    </row>
    <row r="93" spans="1:8" x14ac:dyDescent="0.3">
      <c r="A93" s="2">
        <v>46094</v>
      </c>
      <c r="B93" s="1" t="s">
        <v>29</v>
      </c>
      <c r="C93" s="1" t="s">
        <v>30</v>
      </c>
      <c r="D93" s="1" t="s">
        <v>9</v>
      </c>
      <c r="E93" s="1" t="s">
        <v>28</v>
      </c>
      <c r="F93" s="1" t="s">
        <v>147</v>
      </c>
      <c r="G93" s="5">
        <v>6972</v>
      </c>
      <c r="H93" s="3" t="s">
        <v>12</v>
      </c>
    </row>
    <row r="94" spans="1:8" x14ac:dyDescent="0.3">
      <c r="A94" s="2">
        <v>46094</v>
      </c>
      <c r="B94" s="1" t="s">
        <v>15</v>
      </c>
      <c r="C94" s="1" t="s">
        <v>8</v>
      </c>
      <c r="D94" s="1" t="s">
        <v>9</v>
      </c>
      <c r="E94" s="1" t="s">
        <v>28</v>
      </c>
      <c r="F94" s="1" t="s">
        <v>532</v>
      </c>
      <c r="G94" s="5">
        <v>295</v>
      </c>
      <c r="H94" s="3" t="s">
        <v>12</v>
      </c>
    </row>
    <row r="95" spans="1:8" x14ac:dyDescent="0.3">
      <c r="A95" s="2">
        <v>46094</v>
      </c>
      <c r="B95" s="1" t="s">
        <v>34</v>
      </c>
      <c r="C95" s="1" t="s">
        <v>8</v>
      </c>
      <c r="D95" s="1" t="s">
        <v>9</v>
      </c>
      <c r="E95" s="1" t="s">
        <v>10</v>
      </c>
      <c r="F95" s="1" t="s">
        <v>533</v>
      </c>
      <c r="G95" s="5">
        <v>1128.28</v>
      </c>
      <c r="H95" s="3" t="s">
        <v>12</v>
      </c>
    </row>
    <row r="96" spans="1:8" x14ac:dyDescent="0.3">
      <c r="A96" s="2">
        <v>46094</v>
      </c>
      <c r="B96" s="1" t="s">
        <v>218</v>
      </c>
      <c r="C96" s="1" t="s">
        <v>8</v>
      </c>
      <c r="D96" s="1" t="s">
        <v>9</v>
      </c>
      <c r="E96" s="1" t="s">
        <v>28</v>
      </c>
      <c r="F96" s="1" t="s">
        <v>519</v>
      </c>
      <c r="G96" s="5">
        <v>970.78</v>
      </c>
      <c r="H96" s="3" t="s">
        <v>12</v>
      </c>
    </row>
    <row r="97" spans="1:8" x14ac:dyDescent="0.3">
      <c r="A97" s="2">
        <v>46094</v>
      </c>
      <c r="B97" s="1" t="s">
        <v>62</v>
      </c>
      <c r="C97" s="1" t="s">
        <v>8</v>
      </c>
      <c r="D97" s="1" t="s">
        <v>9</v>
      </c>
      <c r="E97" s="1" t="s">
        <v>10</v>
      </c>
      <c r="F97" s="1" t="s">
        <v>534</v>
      </c>
      <c r="G97" s="5">
        <v>2724.72</v>
      </c>
      <c r="H97" s="3" t="s">
        <v>12</v>
      </c>
    </row>
    <row r="98" spans="1:8" x14ac:dyDescent="0.3">
      <c r="A98" s="2">
        <v>46094</v>
      </c>
      <c r="B98" s="1" t="s">
        <v>15</v>
      </c>
      <c r="C98" s="1" t="s">
        <v>20</v>
      </c>
      <c r="D98" s="1" t="s">
        <v>9</v>
      </c>
      <c r="E98" s="1" t="s">
        <v>10</v>
      </c>
      <c r="F98" s="1" t="s">
        <v>535</v>
      </c>
      <c r="G98" s="5">
        <v>22111.81</v>
      </c>
      <c r="H98" s="3" t="s">
        <v>12</v>
      </c>
    </row>
    <row r="99" spans="1:8" x14ac:dyDescent="0.3">
      <c r="A99" s="2">
        <v>46094</v>
      </c>
      <c r="B99" s="1" t="s">
        <v>34</v>
      </c>
      <c r="C99" s="1" t="s">
        <v>8</v>
      </c>
      <c r="D99" s="1" t="s">
        <v>9</v>
      </c>
      <c r="E99" s="1" t="s">
        <v>10</v>
      </c>
      <c r="F99" s="1" t="s">
        <v>536</v>
      </c>
      <c r="G99" s="5">
        <v>3071.44</v>
      </c>
      <c r="H99" s="3" t="s">
        <v>12</v>
      </c>
    </row>
    <row r="100" spans="1:8" x14ac:dyDescent="0.3">
      <c r="A100" s="2">
        <v>46094</v>
      </c>
      <c r="B100" s="1" t="s">
        <v>17</v>
      </c>
      <c r="C100" s="1" t="s">
        <v>8</v>
      </c>
      <c r="D100" s="1" t="s">
        <v>9</v>
      </c>
      <c r="E100" s="1" t="s">
        <v>10</v>
      </c>
      <c r="F100" s="1" t="s">
        <v>537</v>
      </c>
      <c r="G100" s="5">
        <v>327.76</v>
      </c>
      <c r="H100" s="3" t="s">
        <v>12</v>
      </c>
    </row>
    <row r="101" spans="1:8" x14ac:dyDescent="0.3">
      <c r="A101" s="2">
        <v>46094</v>
      </c>
      <c r="B101" s="1" t="s">
        <v>60</v>
      </c>
      <c r="C101" s="1" t="s">
        <v>8</v>
      </c>
      <c r="D101" s="1" t="s">
        <v>9</v>
      </c>
      <c r="E101" s="1" t="s">
        <v>10</v>
      </c>
      <c r="F101" s="1" t="s">
        <v>538</v>
      </c>
      <c r="G101" s="5">
        <v>798.9</v>
      </c>
      <c r="H101" s="3" t="s">
        <v>12</v>
      </c>
    </row>
    <row r="102" spans="1:8" x14ac:dyDescent="0.3">
      <c r="A102" s="2">
        <v>46093</v>
      </c>
      <c r="B102" s="1" t="s">
        <v>15</v>
      </c>
      <c r="C102" s="1" t="s">
        <v>8</v>
      </c>
      <c r="D102" s="1" t="s">
        <v>9</v>
      </c>
      <c r="E102" s="1" t="s">
        <v>10</v>
      </c>
      <c r="F102" s="1" t="s">
        <v>539</v>
      </c>
      <c r="G102" s="5">
        <v>564</v>
      </c>
      <c r="H102" s="3" t="s">
        <v>12</v>
      </c>
    </row>
    <row r="103" spans="1:8" x14ac:dyDescent="0.3">
      <c r="A103" s="2">
        <v>46093</v>
      </c>
      <c r="B103" s="1" t="s">
        <v>15</v>
      </c>
      <c r="C103" s="1" t="s">
        <v>8</v>
      </c>
      <c r="D103" s="1" t="s">
        <v>9</v>
      </c>
      <c r="E103" s="1" t="s">
        <v>10</v>
      </c>
      <c r="F103" s="1" t="s">
        <v>540</v>
      </c>
      <c r="G103" s="5">
        <v>658.8</v>
      </c>
      <c r="H103" s="3" t="s">
        <v>12</v>
      </c>
    </row>
    <row r="104" spans="1:8" x14ac:dyDescent="0.3">
      <c r="A104" s="2">
        <v>46093</v>
      </c>
      <c r="B104" s="1" t="s">
        <v>62</v>
      </c>
      <c r="C104" s="1" t="s">
        <v>8</v>
      </c>
      <c r="D104" s="1" t="s">
        <v>9</v>
      </c>
      <c r="E104" s="1" t="s">
        <v>10</v>
      </c>
      <c r="F104" s="1" t="s">
        <v>541</v>
      </c>
      <c r="G104" s="5">
        <v>7356</v>
      </c>
      <c r="H104" s="3" t="s">
        <v>12</v>
      </c>
    </row>
    <row r="105" spans="1:8" x14ac:dyDescent="0.3">
      <c r="A105" s="2">
        <v>46092</v>
      </c>
      <c r="B105" s="1" t="s">
        <v>625</v>
      </c>
      <c r="C105" s="1" t="s">
        <v>8</v>
      </c>
      <c r="D105" s="1" t="s">
        <v>9</v>
      </c>
      <c r="E105" s="1" t="s">
        <v>28</v>
      </c>
      <c r="F105" s="1" t="s">
        <v>542</v>
      </c>
      <c r="G105" s="5">
        <v>4394</v>
      </c>
      <c r="H105" s="3" t="s">
        <v>12</v>
      </c>
    </row>
    <row r="106" spans="1:8" x14ac:dyDescent="0.3">
      <c r="A106" s="2">
        <v>46092</v>
      </c>
      <c r="B106" s="1" t="s">
        <v>34</v>
      </c>
      <c r="C106" s="1" t="s">
        <v>8</v>
      </c>
      <c r="D106" s="1" t="s">
        <v>9</v>
      </c>
      <c r="E106" s="1" t="s">
        <v>10</v>
      </c>
      <c r="F106" s="1" t="s">
        <v>543</v>
      </c>
      <c r="G106" s="5">
        <v>1124.95</v>
      </c>
      <c r="H106" s="3" t="s">
        <v>12</v>
      </c>
    </row>
    <row r="107" spans="1:8" x14ac:dyDescent="0.3">
      <c r="A107" s="2">
        <v>46092</v>
      </c>
      <c r="B107" s="1" t="s">
        <v>7</v>
      </c>
      <c r="C107" s="1" t="s">
        <v>8</v>
      </c>
      <c r="D107" s="1" t="s">
        <v>9</v>
      </c>
      <c r="E107" s="1" t="s">
        <v>10</v>
      </c>
      <c r="F107" s="1" t="s">
        <v>544</v>
      </c>
      <c r="G107" s="5">
        <v>407.7</v>
      </c>
      <c r="H107" s="3" t="s">
        <v>12</v>
      </c>
    </row>
    <row r="108" spans="1:8" x14ac:dyDescent="0.3">
      <c r="A108" s="2">
        <v>46092</v>
      </c>
      <c r="B108" s="1" t="s">
        <v>7</v>
      </c>
      <c r="C108" s="1" t="s">
        <v>8</v>
      </c>
      <c r="D108" s="1" t="s">
        <v>9</v>
      </c>
      <c r="E108" s="1" t="s">
        <v>10</v>
      </c>
      <c r="F108" s="1" t="s">
        <v>545</v>
      </c>
      <c r="G108" s="5">
        <v>20</v>
      </c>
      <c r="H108" s="3" t="s">
        <v>12</v>
      </c>
    </row>
    <row r="109" spans="1:8" x14ac:dyDescent="0.3">
      <c r="A109" s="2">
        <v>46092</v>
      </c>
      <c r="B109" s="1" t="s">
        <v>13</v>
      </c>
      <c r="C109" s="1" t="s">
        <v>8</v>
      </c>
      <c r="D109" s="1" t="s">
        <v>9</v>
      </c>
      <c r="E109" s="1" t="s">
        <v>10</v>
      </c>
      <c r="F109" s="1" t="s">
        <v>546</v>
      </c>
      <c r="G109" s="5">
        <v>300</v>
      </c>
      <c r="H109" s="3" t="s">
        <v>12</v>
      </c>
    </row>
    <row r="110" spans="1:8" x14ac:dyDescent="0.3">
      <c r="A110" s="2">
        <v>46092</v>
      </c>
      <c r="B110" s="1" t="s">
        <v>19</v>
      </c>
      <c r="C110" s="1" t="s">
        <v>8</v>
      </c>
      <c r="D110" s="1" t="s">
        <v>9</v>
      </c>
      <c r="E110" s="1" t="s">
        <v>10</v>
      </c>
      <c r="F110" s="1" t="s">
        <v>547</v>
      </c>
      <c r="G110" s="5">
        <v>1499</v>
      </c>
      <c r="H110" s="3" t="s">
        <v>12</v>
      </c>
    </row>
    <row r="111" spans="1:8" x14ac:dyDescent="0.3">
      <c r="A111" s="2">
        <v>46092</v>
      </c>
      <c r="B111" s="1" t="s">
        <v>15</v>
      </c>
      <c r="C111" s="1" t="s">
        <v>8</v>
      </c>
      <c r="D111" s="1" t="s">
        <v>9</v>
      </c>
      <c r="E111" s="1" t="s">
        <v>10</v>
      </c>
      <c r="F111" s="1" t="s">
        <v>548</v>
      </c>
      <c r="G111" s="5">
        <v>51</v>
      </c>
      <c r="H111" s="3" t="s">
        <v>12</v>
      </c>
    </row>
    <row r="112" spans="1:8" x14ac:dyDescent="0.3">
      <c r="A112" s="2">
        <v>46092</v>
      </c>
      <c r="B112" s="1" t="s">
        <v>163</v>
      </c>
      <c r="C112" s="1" t="s">
        <v>43</v>
      </c>
      <c r="D112" s="1" t="s">
        <v>9</v>
      </c>
      <c r="E112" s="1" t="s">
        <v>10</v>
      </c>
      <c r="F112" s="1" t="s">
        <v>549</v>
      </c>
      <c r="G112" s="5">
        <v>2418.19</v>
      </c>
      <c r="H112" s="3" t="s">
        <v>12</v>
      </c>
    </row>
    <row r="113" spans="1:8" x14ac:dyDescent="0.3">
      <c r="A113" s="2">
        <v>46092</v>
      </c>
      <c r="B113" s="1" t="s">
        <v>34</v>
      </c>
      <c r="C113" s="1" t="s">
        <v>8</v>
      </c>
      <c r="D113" s="1" t="s">
        <v>9</v>
      </c>
      <c r="E113" s="1" t="s">
        <v>10</v>
      </c>
      <c r="F113" s="1" t="s">
        <v>550</v>
      </c>
      <c r="G113" s="5">
        <v>626.79</v>
      </c>
      <c r="H113" s="3" t="s">
        <v>12</v>
      </c>
    </row>
    <row r="114" spans="1:8" x14ac:dyDescent="0.3">
      <c r="A114" s="2">
        <v>46091</v>
      </c>
      <c r="B114" s="1" t="s">
        <v>81</v>
      </c>
      <c r="C114" s="1" t="s">
        <v>30</v>
      </c>
      <c r="D114" s="1" t="s">
        <v>9</v>
      </c>
      <c r="E114" s="1" t="s">
        <v>10</v>
      </c>
      <c r="F114" s="1" t="s">
        <v>551</v>
      </c>
      <c r="G114" s="5">
        <v>202</v>
      </c>
      <c r="H114" s="3" t="s">
        <v>12</v>
      </c>
    </row>
    <row r="115" spans="1:8" x14ac:dyDescent="0.3">
      <c r="A115" s="2">
        <v>46091</v>
      </c>
      <c r="B115" s="1" t="s">
        <v>22</v>
      </c>
      <c r="C115" s="1" t="s">
        <v>8</v>
      </c>
      <c r="D115" s="1" t="s">
        <v>9</v>
      </c>
      <c r="E115" s="1" t="s">
        <v>10</v>
      </c>
      <c r="F115" s="1" t="s">
        <v>552</v>
      </c>
      <c r="G115" s="5">
        <v>8376</v>
      </c>
      <c r="H115" s="3" t="s">
        <v>12</v>
      </c>
    </row>
    <row r="116" spans="1:8" x14ac:dyDescent="0.3">
      <c r="A116" s="2">
        <v>46091</v>
      </c>
      <c r="B116" s="1" t="s">
        <v>624</v>
      </c>
      <c r="C116" s="1" t="s">
        <v>8</v>
      </c>
      <c r="D116" s="1" t="s">
        <v>9</v>
      </c>
      <c r="E116" s="1" t="s">
        <v>28</v>
      </c>
      <c r="F116" s="1" t="s">
        <v>553</v>
      </c>
      <c r="G116" s="5">
        <v>2718.35</v>
      </c>
      <c r="H116" s="3" t="s">
        <v>12</v>
      </c>
    </row>
    <row r="117" spans="1:8" x14ac:dyDescent="0.3">
      <c r="A117" s="2">
        <v>46091</v>
      </c>
      <c r="B117" s="1" t="s">
        <v>7</v>
      </c>
      <c r="C117" s="1" t="s">
        <v>8</v>
      </c>
      <c r="D117" s="1" t="s">
        <v>9</v>
      </c>
      <c r="E117" s="1" t="s">
        <v>10</v>
      </c>
      <c r="F117" s="1" t="s">
        <v>554</v>
      </c>
      <c r="G117" s="5">
        <v>999</v>
      </c>
      <c r="H117" s="3" t="s">
        <v>12</v>
      </c>
    </row>
    <row r="118" spans="1:8" x14ac:dyDescent="0.3">
      <c r="A118" s="2">
        <v>46091</v>
      </c>
      <c r="B118" s="1" t="s">
        <v>15</v>
      </c>
      <c r="C118" s="1" t="s">
        <v>8</v>
      </c>
      <c r="D118" s="1" t="s">
        <v>9</v>
      </c>
      <c r="E118" s="1" t="s">
        <v>10</v>
      </c>
      <c r="F118" s="1" t="s">
        <v>555</v>
      </c>
      <c r="G118" s="5">
        <v>1452</v>
      </c>
      <c r="H118" s="3" t="s">
        <v>12</v>
      </c>
    </row>
    <row r="119" spans="1:8" x14ac:dyDescent="0.3">
      <c r="A119" s="2">
        <v>46091</v>
      </c>
      <c r="B119" s="1" t="s">
        <v>50</v>
      </c>
      <c r="C119" s="1" t="s">
        <v>8</v>
      </c>
      <c r="D119" s="1" t="s">
        <v>9</v>
      </c>
      <c r="E119" s="1" t="s">
        <v>10</v>
      </c>
      <c r="F119" s="1" t="s">
        <v>556</v>
      </c>
      <c r="G119" s="5">
        <v>282.89999999999998</v>
      </c>
      <c r="H119" s="3" t="s">
        <v>12</v>
      </c>
    </row>
    <row r="120" spans="1:8" x14ac:dyDescent="0.3">
      <c r="A120" s="2">
        <v>46091</v>
      </c>
      <c r="B120" s="1" t="s">
        <v>50</v>
      </c>
      <c r="C120" s="1" t="s">
        <v>8</v>
      </c>
      <c r="D120" s="1" t="s">
        <v>23</v>
      </c>
      <c r="E120" s="1" t="s">
        <v>10</v>
      </c>
      <c r="F120" s="1" t="s">
        <v>557</v>
      </c>
      <c r="G120" s="5">
        <v>132</v>
      </c>
      <c r="H120" s="3" t="s">
        <v>12</v>
      </c>
    </row>
    <row r="121" spans="1:8" x14ac:dyDescent="0.3">
      <c r="A121" s="2">
        <v>46091</v>
      </c>
      <c r="B121" s="1" t="s">
        <v>34</v>
      </c>
      <c r="C121" s="1" t="s">
        <v>8</v>
      </c>
      <c r="D121" s="1" t="s">
        <v>9</v>
      </c>
      <c r="E121" s="1" t="s">
        <v>10</v>
      </c>
      <c r="F121" s="1" t="s">
        <v>558</v>
      </c>
      <c r="G121" s="5">
        <v>1425.67</v>
      </c>
      <c r="H121" s="3" t="s">
        <v>12</v>
      </c>
    </row>
    <row r="122" spans="1:8" x14ac:dyDescent="0.3">
      <c r="A122" s="2">
        <v>46091</v>
      </c>
      <c r="B122" s="1" t="s">
        <v>50</v>
      </c>
      <c r="C122" s="1" t="s">
        <v>30</v>
      </c>
      <c r="D122" s="1" t="s">
        <v>23</v>
      </c>
      <c r="E122" s="1" t="s">
        <v>10</v>
      </c>
      <c r="F122" s="1" t="s">
        <v>559</v>
      </c>
      <c r="G122" s="5">
        <v>104</v>
      </c>
      <c r="H122" s="3" t="s">
        <v>12</v>
      </c>
    </row>
    <row r="123" spans="1:8" x14ac:dyDescent="0.3">
      <c r="A123" s="2">
        <v>46091</v>
      </c>
      <c r="B123" s="1" t="s">
        <v>15</v>
      </c>
      <c r="C123" s="1" t="s">
        <v>8</v>
      </c>
      <c r="D123" s="1" t="s">
        <v>9</v>
      </c>
      <c r="E123" s="1" t="s">
        <v>10</v>
      </c>
      <c r="F123" s="1" t="s">
        <v>532</v>
      </c>
      <c r="G123" s="5">
        <v>160</v>
      </c>
      <c r="H123" s="3" t="s">
        <v>12</v>
      </c>
    </row>
    <row r="124" spans="1:8" x14ac:dyDescent="0.3">
      <c r="A124" s="2">
        <v>46090</v>
      </c>
      <c r="B124" s="1" t="s">
        <v>7</v>
      </c>
      <c r="C124" s="1" t="s">
        <v>8</v>
      </c>
      <c r="D124" s="1" t="s">
        <v>9</v>
      </c>
      <c r="E124" s="1" t="s">
        <v>10</v>
      </c>
      <c r="F124" s="1" t="s">
        <v>560</v>
      </c>
      <c r="G124" s="5">
        <v>549</v>
      </c>
      <c r="H124" s="3" t="s">
        <v>12</v>
      </c>
    </row>
    <row r="125" spans="1:8" x14ac:dyDescent="0.3">
      <c r="A125" s="2">
        <v>46090</v>
      </c>
      <c r="B125" s="1" t="s">
        <v>34</v>
      </c>
      <c r="C125" s="1" t="s">
        <v>8</v>
      </c>
      <c r="D125" s="1" t="s">
        <v>23</v>
      </c>
      <c r="E125" s="1" t="s">
        <v>10</v>
      </c>
      <c r="F125" s="1" t="s">
        <v>561</v>
      </c>
      <c r="G125" s="5">
        <v>570.12</v>
      </c>
      <c r="H125" s="3" t="s">
        <v>12</v>
      </c>
    </row>
    <row r="126" spans="1:8" x14ac:dyDescent="0.3">
      <c r="A126" s="2">
        <v>46090</v>
      </c>
      <c r="B126" s="1" t="s">
        <v>34</v>
      </c>
      <c r="C126" s="1" t="s">
        <v>8</v>
      </c>
      <c r="D126" s="1" t="s">
        <v>9</v>
      </c>
      <c r="E126" s="1" t="s">
        <v>10</v>
      </c>
      <c r="F126" s="1" t="s">
        <v>562</v>
      </c>
      <c r="G126" s="5">
        <v>686.17</v>
      </c>
      <c r="H126" s="3" t="s">
        <v>12</v>
      </c>
    </row>
    <row r="127" spans="1:8" x14ac:dyDescent="0.3">
      <c r="A127" s="2">
        <v>46090</v>
      </c>
      <c r="B127" s="1" t="s">
        <v>34</v>
      </c>
      <c r="C127" s="1" t="s">
        <v>8</v>
      </c>
      <c r="D127" s="1" t="s">
        <v>9</v>
      </c>
      <c r="E127" s="1" t="s">
        <v>10</v>
      </c>
      <c r="F127" s="1" t="s">
        <v>563</v>
      </c>
      <c r="G127" s="5">
        <v>609.19000000000005</v>
      </c>
      <c r="H127" s="3" t="s">
        <v>12</v>
      </c>
    </row>
    <row r="128" spans="1:8" x14ac:dyDescent="0.3">
      <c r="A128" s="2">
        <v>46090</v>
      </c>
      <c r="B128" s="1" t="s">
        <v>34</v>
      </c>
      <c r="C128" s="1" t="s">
        <v>8</v>
      </c>
      <c r="D128" s="1" t="s">
        <v>9</v>
      </c>
      <c r="E128" s="1" t="s">
        <v>10</v>
      </c>
      <c r="F128" s="1" t="s">
        <v>564</v>
      </c>
      <c r="G128" s="5">
        <v>617.9</v>
      </c>
      <c r="H128" s="3" t="s">
        <v>12</v>
      </c>
    </row>
    <row r="129" spans="1:8" x14ac:dyDescent="0.3">
      <c r="A129" s="2">
        <v>46090</v>
      </c>
      <c r="B129" s="1" t="s">
        <v>34</v>
      </c>
      <c r="C129" s="1" t="s">
        <v>8</v>
      </c>
      <c r="D129" s="1" t="s">
        <v>9</v>
      </c>
      <c r="E129" s="1" t="s">
        <v>10</v>
      </c>
      <c r="F129" s="1" t="s">
        <v>565</v>
      </c>
      <c r="G129" s="5">
        <v>562.15</v>
      </c>
      <c r="H129" s="3" t="s">
        <v>12</v>
      </c>
    </row>
    <row r="130" spans="1:8" x14ac:dyDescent="0.3">
      <c r="A130" s="2">
        <v>46090</v>
      </c>
      <c r="B130" s="1" t="s">
        <v>34</v>
      </c>
      <c r="C130" s="1" t="s">
        <v>8</v>
      </c>
      <c r="D130" s="1" t="s">
        <v>9</v>
      </c>
      <c r="E130" s="1" t="s">
        <v>10</v>
      </c>
      <c r="F130" s="1" t="s">
        <v>566</v>
      </c>
      <c r="G130" s="5">
        <v>1117.98</v>
      </c>
      <c r="H130" s="3" t="s">
        <v>12</v>
      </c>
    </row>
    <row r="131" spans="1:8" x14ac:dyDescent="0.3">
      <c r="A131" s="2">
        <v>46090</v>
      </c>
      <c r="B131" s="1" t="s">
        <v>34</v>
      </c>
      <c r="C131" s="1" t="s">
        <v>8</v>
      </c>
      <c r="D131" s="1" t="s">
        <v>9</v>
      </c>
      <c r="E131" s="1" t="s">
        <v>10</v>
      </c>
      <c r="F131" s="1" t="s">
        <v>567</v>
      </c>
      <c r="G131" s="5">
        <v>810.13</v>
      </c>
      <c r="H131" s="3" t="s">
        <v>12</v>
      </c>
    </row>
    <row r="132" spans="1:8" x14ac:dyDescent="0.3">
      <c r="A132" s="2">
        <v>46090</v>
      </c>
      <c r="B132" s="1" t="s">
        <v>15</v>
      </c>
      <c r="C132" s="1" t="s">
        <v>8</v>
      </c>
      <c r="D132" s="1" t="s">
        <v>9</v>
      </c>
      <c r="E132" s="1" t="s">
        <v>10</v>
      </c>
      <c r="F132" s="1" t="s">
        <v>568</v>
      </c>
      <c r="G132" s="5">
        <v>90</v>
      </c>
      <c r="H132" s="3" t="s">
        <v>12</v>
      </c>
    </row>
    <row r="133" spans="1:8" x14ac:dyDescent="0.3">
      <c r="A133" s="2">
        <v>46090</v>
      </c>
      <c r="B133" s="1" t="s">
        <v>55</v>
      </c>
      <c r="C133" s="1" t="s">
        <v>8</v>
      </c>
      <c r="D133" s="1" t="s">
        <v>9</v>
      </c>
      <c r="E133" s="1" t="s">
        <v>10</v>
      </c>
      <c r="F133" s="1" t="s">
        <v>569</v>
      </c>
      <c r="G133" s="5">
        <v>3456</v>
      </c>
      <c r="H133" s="3" t="s">
        <v>12</v>
      </c>
    </row>
    <row r="134" spans="1:8" x14ac:dyDescent="0.3">
      <c r="A134" s="2">
        <v>46087</v>
      </c>
      <c r="B134" s="1" t="s">
        <v>25</v>
      </c>
      <c r="C134" s="1" t="s">
        <v>20</v>
      </c>
      <c r="D134" s="1" t="s">
        <v>9</v>
      </c>
      <c r="E134" s="1" t="s">
        <v>26</v>
      </c>
      <c r="F134" s="1" t="s">
        <v>570</v>
      </c>
      <c r="G134" s="5">
        <v>153354.20000000001</v>
      </c>
      <c r="H134" s="3" t="s">
        <v>12</v>
      </c>
    </row>
    <row r="135" spans="1:8" x14ac:dyDescent="0.3">
      <c r="A135" s="2">
        <v>46087</v>
      </c>
      <c r="B135" s="1" t="s">
        <v>25</v>
      </c>
      <c r="C135" s="1" t="s">
        <v>20</v>
      </c>
      <c r="D135" s="1" t="s">
        <v>9</v>
      </c>
      <c r="E135" s="1" t="s">
        <v>28</v>
      </c>
      <c r="F135" s="1" t="s">
        <v>570</v>
      </c>
      <c r="G135" s="5">
        <v>10931.79</v>
      </c>
      <c r="H135" s="3" t="s">
        <v>12</v>
      </c>
    </row>
    <row r="136" spans="1:8" x14ac:dyDescent="0.3">
      <c r="A136" s="2">
        <v>46087</v>
      </c>
      <c r="B136" s="1" t="s">
        <v>70</v>
      </c>
      <c r="C136" s="1" t="s">
        <v>20</v>
      </c>
      <c r="D136" s="1" t="s">
        <v>9</v>
      </c>
      <c r="E136" s="1" t="s">
        <v>71</v>
      </c>
      <c r="F136" s="1" t="s">
        <v>571</v>
      </c>
      <c r="G136" s="5">
        <v>69924.490000000005</v>
      </c>
      <c r="H136" s="3" t="s">
        <v>12</v>
      </c>
    </row>
    <row r="137" spans="1:8" x14ac:dyDescent="0.3">
      <c r="A137" s="2">
        <v>46087</v>
      </c>
      <c r="B137" s="1" t="s">
        <v>81</v>
      </c>
      <c r="C137" s="1" t="s">
        <v>30</v>
      </c>
      <c r="D137" s="1" t="s">
        <v>9</v>
      </c>
      <c r="E137" s="1" t="s">
        <v>10</v>
      </c>
      <c r="F137" s="1" t="s">
        <v>572</v>
      </c>
      <c r="G137" s="5">
        <v>376</v>
      </c>
      <c r="H137" s="3" t="s">
        <v>12</v>
      </c>
    </row>
    <row r="138" spans="1:8" x14ac:dyDescent="0.3">
      <c r="A138" s="2">
        <v>46087</v>
      </c>
      <c r="B138" s="1" t="s">
        <v>79</v>
      </c>
      <c r="C138" s="1" t="s">
        <v>30</v>
      </c>
      <c r="D138" s="1" t="s">
        <v>9</v>
      </c>
      <c r="E138" s="1" t="s">
        <v>10</v>
      </c>
      <c r="F138" s="1" t="s">
        <v>573</v>
      </c>
      <c r="G138" s="5">
        <v>48</v>
      </c>
      <c r="H138" s="3" t="s">
        <v>12</v>
      </c>
    </row>
    <row r="139" spans="1:8" x14ac:dyDescent="0.3">
      <c r="A139" s="2">
        <v>46087</v>
      </c>
      <c r="B139" s="1" t="s">
        <v>81</v>
      </c>
      <c r="C139" s="1" t="s">
        <v>30</v>
      </c>
      <c r="D139" s="1" t="s">
        <v>9</v>
      </c>
      <c r="E139" s="1" t="s">
        <v>10</v>
      </c>
      <c r="F139" s="1" t="s">
        <v>574</v>
      </c>
      <c r="G139" s="5">
        <v>690</v>
      </c>
      <c r="H139" s="3" t="s">
        <v>12</v>
      </c>
    </row>
    <row r="140" spans="1:8" x14ac:dyDescent="0.3">
      <c r="A140" s="2">
        <v>46087</v>
      </c>
      <c r="B140" s="1" t="s">
        <v>7</v>
      </c>
      <c r="C140" s="1" t="s">
        <v>8</v>
      </c>
      <c r="D140" s="1" t="s">
        <v>9</v>
      </c>
      <c r="E140" s="1" t="s">
        <v>10</v>
      </c>
      <c r="F140" s="1" t="s">
        <v>575</v>
      </c>
      <c r="G140" s="5">
        <v>195</v>
      </c>
      <c r="H140" s="3" t="s">
        <v>12</v>
      </c>
    </row>
    <row r="141" spans="1:8" x14ac:dyDescent="0.3">
      <c r="A141" s="2">
        <v>46087</v>
      </c>
      <c r="B141" s="1" t="s">
        <v>163</v>
      </c>
      <c r="C141" s="1" t="s">
        <v>8</v>
      </c>
      <c r="D141" s="1" t="s">
        <v>9</v>
      </c>
      <c r="E141" s="1" t="s">
        <v>10</v>
      </c>
      <c r="F141" s="1" t="s">
        <v>576</v>
      </c>
      <c r="G141" s="5">
        <v>89.6</v>
      </c>
      <c r="H141" s="3" t="s">
        <v>12</v>
      </c>
    </row>
    <row r="142" spans="1:8" x14ac:dyDescent="0.3">
      <c r="A142" s="2">
        <v>46087</v>
      </c>
      <c r="B142" s="1" t="s">
        <v>62</v>
      </c>
      <c r="C142" s="1" t="s">
        <v>8</v>
      </c>
      <c r="D142" s="1" t="s">
        <v>9</v>
      </c>
      <c r="E142" s="1" t="s">
        <v>10</v>
      </c>
      <c r="F142" s="1" t="s">
        <v>577</v>
      </c>
      <c r="G142" s="5">
        <v>1056</v>
      </c>
      <c r="H142" s="3" t="s">
        <v>12</v>
      </c>
    </row>
    <row r="143" spans="1:8" x14ac:dyDescent="0.3">
      <c r="A143" s="2">
        <v>46087</v>
      </c>
      <c r="B143" s="1" t="s">
        <v>17</v>
      </c>
      <c r="C143" s="1" t="s">
        <v>20</v>
      </c>
      <c r="D143" s="1" t="s">
        <v>9</v>
      </c>
      <c r="E143" s="1" t="s">
        <v>10</v>
      </c>
      <c r="F143" s="1" t="s">
        <v>578</v>
      </c>
      <c r="G143" s="5">
        <v>327.76</v>
      </c>
      <c r="H143" s="3" t="s">
        <v>12</v>
      </c>
    </row>
    <row r="144" spans="1:8" x14ac:dyDescent="0.3">
      <c r="A144" s="2">
        <v>46087</v>
      </c>
      <c r="B144" s="1" t="s">
        <v>89</v>
      </c>
      <c r="C144" s="1" t="s">
        <v>8</v>
      </c>
      <c r="D144" s="1" t="s">
        <v>9</v>
      </c>
      <c r="E144" s="1" t="s">
        <v>10</v>
      </c>
      <c r="F144" s="1" t="s">
        <v>579</v>
      </c>
      <c r="G144" s="5">
        <v>2489</v>
      </c>
      <c r="H144" s="3" t="s">
        <v>12</v>
      </c>
    </row>
    <row r="145" spans="1:8" x14ac:dyDescent="0.3">
      <c r="A145" s="2">
        <v>46087</v>
      </c>
      <c r="B145" s="1" t="s">
        <v>79</v>
      </c>
      <c r="C145" s="1" t="s">
        <v>8</v>
      </c>
      <c r="D145" s="1" t="s">
        <v>9</v>
      </c>
      <c r="E145" s="1" t="s">
        <v>10</v>
      </c>
      <c r="F145" s="1" t="s">
        <v>580</v>
      </c>
      <c r="G145" s="5">
        <v>81</v>
      </c>
      <c r="H145" s="3" t="s">
        <v>12</v>
      </c>
    </row>
    <row r="146" spans="1:8" x14ac:dyDescent="0.3">
      <c r="A146" s="2">
        <v>46087</v>
      </c>
      <c r="B146" s="1" t="s">
        <v>15</v>
      </c>
      <c r="C146" s="1" t="s">
        <v>8</v>
      </c>
      <c r="D146" s="1" t="s">
        <v>9</v>
      </c>
      <c r="E146" s="1" t="s">
        <v>10</v>
      </c>
      <c r="F146" s="1" t="s">
        <v>581</v>
      </c>
      <c r="G146" s="5">
        <v>85</v>
      </c>
      <c r="H146" s="3" t="s">
        <v>12</v>
      </c>
    </row>
    <row r="147" spans="1:8" x14ac:dyDescent="0.3">
      <c r="A147" s="2">
        <v>46087</v>
      </c>
      <c r="B147" s="1" t="s">
        <v>15</v>
      </c>
      <c r="C147" s="1" t="s">
        <v>8</v>
      </c>
      <c r="D147" s="1" t="s">
        <v>9</v>
      </c>
      <c r="E147" s="1" t="s">
        <v>10</v>
      </c>
      <c r="F147" s="1" t="s">
        <v>582</v>
      </c>
      <c r="G147" s="5">
        <v>615</v>
      </c>
      <c r="H147" s="3" t="s">
        <v>12</v>
      </c>
    </row>
    <row r="148" spans="1:8" x14ac:dyDescent="0.3">
      <c r="A148" s="2">
        <v>46087</v>
      </c>
      <c r="B148" s="1" t="s">
        <v>34</v>
      </c>
      <c r="C148" s="1" t="s">
        <v>8</v>
      </c>
      <c r="D148" s="1" t="s">
        <v>9</v>
      </c>
      <c r="E148" s="1" t="s">
        <v>10</v>
      </c>
      <c r="F148" s="1" t="s">
        <v>583</v>
      </c>
      <c r="G148" s="5">
        <v>1943.71</v>
      </c>
      <c r="H148" s="3" t="s">
        <v>12</v>
      </c>
    </row>
    <row r="149" spans="1:8" x14ac:dyDescent="0.3">
      <c r="A149" s="2">
        <v>46087</v>
      </c>
      <c r="B149" s="1" t="s">
        <v>50</v>
      </c>
      <c r="C149" s="1" t="s">
        <v>8</v>
      </c>
      <c r="D149" s="1" t="s">
        <v>9</v>
      </c>
      <c r="E149" s="1" t="s">
        <v>10</v>
      </c>
      <c r="F149" s="1" t="s">
        <v>584</v>
      </c>
      <c r="G149" s="5">
        <v>722</v>
      </c>
      <c r="H149" s="3" t="s">
        <v>12</v>
      </c>
    </row>
    <row r="150" spans="1:8" x14ac:dyDescent="0.3">
      <c r="A150" s="2">
        <v>46086</v>
      </c>
      <c r="B150" s="1" t="s">
        <v>15</v>
      </c>
      <c r="C150" s="1" t="s">
        <v>8</v>
      </c>
      <c r="D150" s="1" t="s">
        <v>9</v>
      </c>
      <c r="E150" s="1" t="s">
        <v>10</v>
      </c>
      <c r="F150" s="1" t="s">
        <v>585</v>
      </c>
      <c r="G150" s="5">
        <v>1032.93</v>
      </c>
      <c r="H150" s="3" t="s">
        <v>12</v>
      </c>
    </row>
    <row r="151" spans="1:8" x14ac:dyDescent="0.3">
      <c r="A151" s="2">
        <v>46086</v>
      </c>
      <c r="B151" s="1" t="s">
        <v>34</v>
      </c>
      <c r="C151" s="1" t="s">
        <v>8</v>
      </c>
      <c r="D151" s="1" t="s">
        <v>23</v>
      </c>
      <c r="E151" s="1" t="s">
        <v>10</v>
      </c>
      <c r="F151" s="1" t="s">
        <v>586</v>
      </c>
      <c r="G151" s="5">
        <v>1353.98</v>
      </c>
      <c r="H151" s="3" t="s">
        <v>12</v>
      </c>
    </row>
    <row r="152" spans="1:8" x14ac:dyDescent="0.3">
      <c r="A152" s="2">
        <v>46086</v>
      </c>
      <c r="B152" s="1" t="s">
        <v>163</v>
      </c>
      <c r="C152" s="1" t="s">
        <v>8</v>
      </c>
      <c r="D152" s="1" t="s">
        <v>9</v>
      </c>
      <c r="E152" s="1" t="s">
        <v>10</v>
      </c>
      <c r="F152" s="1" t="s">
        <v>587</v>
      </c>
      <c r="G152" s="5">
        <v>68</v>
      </c>
      <c r="H152" s="3" t="s">
        <v>12</v>
      </c>
    </row>
    <row r="153" spans="1:8" x14ac:dyDescent="0.3">
      <c r="A153" s="2">
        <v>46086</v>
      </c>
      <c r="B153" s="1" t="s">
        <v>34</v>
      </c>
      <c r="C153" s="1" t="s">
        <v>8</v>
      </c>
      <c r="D153" s="1" t="s">
        <v>9</v>
      </c>
      <c r="E153" s="1" t="s">
        <v>10</v>
      </c>
      <c r="F153" s="1" t="s">
        <v>588</v>
      </c>
      <c r="G153" s="5">
        <v>500</v>
      </c>
      <c r="H153" s="3" t="s">
        <v>12</v>
      </c>
    </row>
    <row r="154" spans="1:8" x14ac:dyDescent="0.3">
      <c r="A154" s="2">
        <v>46086</v>
      </c>
      <c r="B154" s="1" t="s">
        <v>15</v>
      </c>
      <c r="C154" s="1" t="s">
        <v>30</v>
      </c>
      <c r="D154" s="1" t="s">
        <v>9</v>
      </c>
      <c r="E154" s="1" t="s">
        <v>10</v>
      </c>
      <c r="F154" s="1" t="s">
        <v>589</v>
      </c>
      <c r="G154" s="5">
        <v>124</v>
      </c>
      <c r="H154" s="3" t="s">
        <v>12</v>
      </c>
    </row>
    <row r="155" spans="1:8" x14ac:dyDescent="0.3">
      <c r="A155" s="2">
        <v>46086</v>
      </c>
      <c r="B155" s="1" t="s">
        <v>62</v>
      </c>
      <c r="C155" s="1" t="s">
        <v>8</v>
      </c>
      <c r="D155" s="1" t="s">
        <v>9</v>
      </c>
      <c r="E155" s="1" t="s">
        <v>10</v>
      </c>
      <c r="F155" s="1" t="s">
        <v>590</v>
      </c>
      <c r="G155" s="5">
        <v>339.88</v>
      </c>
      <c r="H155" s="3" t="s">
        <v>12</v>
      </c>
    </row>
    <row r="156" spans="1:8" x14ac:dyDescent="0.3">
      <c r="A156" s="2">
        <v>46085</v>
      </c>
      <c r="B156" s="1" t="s">
        <v>79</v>
      </c>
      <c r="C156" s="1" t="s">
        <v>30</v>
      </c>
      <c r="D156" s="1" t="s">
        <v>9</v>
      </c>
      <c r="E156" s="1" t="s">
        <v>10</v>
      </c>
      <c r="F156" s="1" t="s">
        <v>591</v>
      </c>
      <c r="G156" s="5">
        <v>4240</v>
      </c>
      <c r="H156" s="3" t="s">
        <v>12</v>
      </c>
    </row>
    <row r="157" spans="1:8" x14ac:dyDescent="0.3">
      <c r="A157" s="2">
        <v>46085</v>
      </c>
      <c r="B157" s="1" t="s">
        <v>15</v>
      </c>
      <c r="C157" s="1" t="s">
        <v>30</v>
      </c>
      <c r="D157" s="1" t="s">
        <v>9</v>
      </c>
      <c r="E157" s="1" t="s">
        <v>10</v>
      </c>
      <c r="F157" s="1" t="s">
        <v>592</v>
      </c>
      <c r="G157" s="5">
        <v>15</v>
      </c>
      <c r="H157" s="3" t="s">
        <v>12</v>
      </c>
    </row>
    <row r="158" spans="1:8" x14ac:dyDescent="0.3">
      <c r="A158" s="2">
        <v>46085</v>
      </c>
      <c r="B158" s="1" t="s">
        <v>218</v>
      </c>
      <c r="C158" s="1" t="s">
        <v>30</v>
      </c>
      <c r="D158" s="1" t="s">
        <v>9</v>
      </c>
      <c r="E158" s="1" t="s">
        <v>28</v>
      </c>
      <c r="F158" s="1" t="s">
        <v>593</v>
      </c>
      <c r="G158" s="5">
        <v>19</v>
      </c>
      <c r="H158" s="3" t="s">
        <v>12</v>
      </c>
    </row>
    <row r="159" spans="1:8" x14ac:dyDescent="0.3">
      <c r="A159" s="2">
        <v>46085</v>
      </c>
      <c r="B159" s="1" t="s">
        <v>218</v>
      </c>
      <c r="C159" s="1" t="s">
        <v>30</v>
      </c>
      <c r="D159" s="1" t="s">
        <v>9</v>
      </c>
      <c r="E159" s="1" t="s">
        <v>28</v>
      </c>
      <c r="F159" s="1" t="s">
        <v>594</v>
      </c>
      <c r="G159" s="5">
        <v>32.5</v>
      </c>
      <c r="H159" s="3" t="s">
        <v>12</v>
      </c>
    </row>
    <row r="160" spans="1:8" x14ac:dyDescent="0.3">
      <c r="A160" s="2">
        <v>46085</v>
      </c>
      <c r="B160" s="1" t="s">
        <v>13</v>
      </c>
      <c r="C160" s="1" t="s">
        <v>8</v>
      </c>
      <c r="D160" s="1" t="s">
        <v>9</v>
      </c>
      <c r="E160" s="1" t="s">
        <v>10</v>
      </c>
      <c r="F160" s="1" t="s">
        <v>595</v>
      </c>
      <c r="G160" s="5">
        <v>3549</v>
      </c>
      <c r="H160" s="3" t="s">
        <v>12</v>
      </c>
    </row>
    <row r="161" spans="1:8" x14ac:dyDescent="0.3">
      <c r="A161" s="2">
        <v>46085</v>
      </c>
      <c r="B161" s="1" t="s">
        <v>34</v>
      </c>
      <c r="C161" s="1" t="s">
        <v>8</v>
      </c>
      <c r="D161" s="1" t="s">
        <v>9</v>
      </c>
      <c r="E161" s="1" t="s">
        <v>10</v>
      </c>
      <c r="F161" s="1" t="s">
        <v>596</v>
      </c>
      <c r="G161" s="5">
        <v>1000</v>
      </c>
      <c r="H161" s="3" t="s">
        <v>12</v>
      </c>
    </row>
    <row r="162" spans="1:8" x14ac:dyDescent="0.3">
      <c r="A162" s="2">
        <v>46085</v>
      </c>
      <c r="B162" s="1" t="s">
        <v>15</v>
      </c>
      <c r="C162" s="1" t="s">
        <v>8</v>
      </c>
      <c r="D162" s="1" t="s">
        <v>9</v>
      </c>
      <c r="E162" s="1" t="s">
        <v>10</v>
      </c>
      <c r="F162" s="1" t="s">
        <v>597</v>
      </c>
      <c r="G162" s="5">
        <v>2679</v>
      </c>
      <c r="H162" s="3" t="s">
        <v>12</v>
      </c>
    </row>
    <row r="163" spans="1:8" x14ac:dyDescent="0.3">
      <c r="A163" s="2">
        <v>46085</v>
      </c>
      <c r="B163" s="1" t="s">
        <v>22</v>
      </c>
      <c r="C163" s="1" t="s">
        <v>8</v>
      </c>
      <c r="D163" s="1" t="s">
        <v>9</v>
      </c>
      <c r="E163" s="1" t="s">
        <v>10</v>
      </c>
      <c r="F163" s="1" t="s">
        <v>598</v>
      </c>
      <c r="G163" s="5">
        <v>3975.62</v>
      </c>
      <c r="H163" s="3" t="s">
        <v>12</v>
      </c>
    </row>
    <row r="164" spans="1:8" x14ac:dyDescent="0.3">
      <c r="A164" s="2">
        <v>46085</v>
      </c>
      <c r="B164" s="1" t="s">
        <v>19</v>
      </c>
      <c r="C164" s="1" t="s">
        <v>8</v>
      </c>
      <c r="D164" s="1" t="s">
        <v>9</v>
      </c>
      <c r="E164" s="1" t="s">
        <v>10</v>
      </c>
      <c r="F164" s="1" t="s">
        <v>599</v>
      </c>
      <c r="G164" s="5">
        <v>540</v>
      </c>
      <c r="H164" s="3" t="s">
        <v>12</v>
      </c>
    </row>
    <row r="165" spans="1:8" x14ac:dyDescent="0.3">
      <c r="A165" s="2">
        <v>46085</v>
      </c>
      <c r="B165" s="1" t="s">
        <v>13</v>
      </c>
      <c r="C165" s="1" t="s">
        <v>8</v>
      </c>
      <c r="D165" s="1" t="s">
        <v>9</v>
      </c>
      <c r="E165" s="1" t="s">
        <v>10</v>
      </c>
      <c r="F165" s="1" t="s">
        <v>600</v>
      </c>
      <c r="G165" s="5">
        <v>320</v>
      </c>
      <c r="H165" s="3" t="s">
        <v>12</v>
      </c>
    </row>
    <row r="166" spans="1:8" x14ac:dyDescent="0.3">
      <c r="A166" s="2">
        <v>46084</v>
      </c>
      <c r="B166" s="1" t="s">
        <v>50</v>
      </c>
      <c r="C166" s="1" t="s">
        <v>30</v>
      </c>
      <c r="D166" s="1" t="s">
        <v>9</v>
      </c>
      <c r="E166" s="1" t="s">
        <v>10</v>
      </c>
      <c r="F166" s="1" t="s">
        <v>601</v>
      </c>
      <c r="G166" s="5">
        <v>104</v>
      </c>
      <c r="H166" s="3" t="s">
        <v>12</v>
      </c>
    </row>
    <row r="167" spans="1:8" x14ac:dyDescent="0.3">
      <c r="A167" s="2">
        <v>46084</v>
      </c>
      <c r="B167" s="1" t="s">
        <v>50</v>
      </c>
      <c r="C167" s="1" t="s">
        <v>30</v>
      </c>
      <c r="D167" s="1" t="s">
        <v>9</v>
      </c>
      <c r="E167" s="1" t="s">
        <v>28</v>
      </c>
      <c r="F167" s="1" t="s">
        <v>602</v>
      </c>
      <c r="G167" s="5">
        <v>491</v>
      </c>
      <c r="H167" s="3" t="s">
        <v>12</v>
      </c>
    </row>
    <row r="168" spans="1:8" x14ac:dyDescent="0.3">
      <c r="A168" s="2">
        <v>46084</v>
      </c>
      <c r="B168" s="1" t="s">
        <v>45</v>
      </c>
      <c r="C168" s="1" t="s">
        <v>20</v>
      </c>
      <c r="D168" s="1" t="s">
        <v>9</v>
      </c>
      <c r="E168" s="1" t="s">
        <v>10</v>
      </c>
      <c r="F168" s="1" t="s">
        <v>46</v>
      </c>
      <c r="G168" s="5">
        <v>6727.19</v>
      </c>
      <c r="H168" s="3" t="s">
        <v>12</v>
      </c>
    </row>
    <row r="169" spans="1:8" x14ac:dyDescent="0.3">
      <c r="A169" s="2">
        <v>46084</v>
      </c>
      <c r="B169" s="1" t="s">
        <v>45</v>
      </c>
      <c r="C169" s="1" t="s">
        <v>20</v>
      </c>
      <c r="D169" s="1" t="s">
        <v>9</v>
      </c>
      <c r="E169" s="1" t="s">
        <v>10</v>
      </c>
      <c r="F169" s="1" t="s">
        <v>423</v>
      </c>
      <c r="G169" s="5">
        <v>1974.6</v>
      </c>
      <c r="H169" s="3" t="s">
        <v>12</v>
      </c>
    </row>
    <row r="170" spans="1:8" x14ac:dyDescent="0.3">
      <c r="A170" s="2">
        <v>46084</v>
      </c>
      <c r="B170" s="1" t="s">
        <v>34</v>
      </c>
      <c r="C170" s="1" t="s">
        <v>8</v>
      </c>
      <c r="D170" s="1" t="s">
        <v>9</v>
      </c>
      <c r="E170" s="1" t="s">
        <v>10</v>
      </c>
      <c r="F170" s="1" t="s">
        <v>603</v>
      </c>
      <c r="G170" s="5">
        <v>582.09</v>
      </c>
      <c r="H170" s="3" t="s">
        <v>12</v>
      </c>
    </row>
    <row r="171" spans="1:8" x14ac:dyDescent="0.3">
      <c r="A171" s="2">
        <v>46084</v>
      </c>
      <c r="B171" s="1" t="s">
        <v>34</v>
      </c>
      <c r="C171" s="1" t="s">
        <v>8</v>
      </c>
      <c r="D171" s="1" t="s">
        <v>9</v>
      </c>
      <c r="E171" s="1" t="s">
        <v>10</v>
      </c>
      <c r="F171" s="1" t="s">
        <v>604</v>
      </c>
      <c r="G171" s="5">
        <v>650.08000000000004</v>
      </c>
      <c r="H171" s="3" t="s">
        <v>12</v>
      </c>
    </row>
    <row r="172" spans="1:8" x14ac:dyDescent="0.3">
      <c r="A172" s="2">
        <v>46084</v>
      </c>
      <c r="B172" s="1" t="s">
        <v>7</v>
      </c>
      <c r="C172" s="1" t="s">
        <v>8</v>
      </c>
      <c r="D172" s="1" t="s">
        <v>9</v>
      </c>
      <c r="E172" s="1" t="s">
        <v>10</v>
      </c>
      <c r="F172" s="1" t="s">
        <v>605</v>
      </c>
      <c r="G172" s="5">
        <v>884</v>
      </c>
      <c r="H172" s="3" t="s">
        <v>12</v>
      </c>
    </row>
    <row r="173" spans="1:8" x14ac:dyDescent="0.3">
      <c r="A173" s="2">
        <v>46084</v>
      </c>
      <c r="B173" s="1" t="s">
        <v>226</v>
      </c>
      <c r="C173" s="1" t="s">
        <v>8</v>
      </c>
      <c r="D173" s="1" t="s">
        <v>9</v>
      </c>
      <c r="E173" s="1" t="s">
        <v>10</v>
      </c>
      <c r="F173" s="1" t="s">
        <v>606</v>
      </c>
      <c r="G173" s="5">
        <v>32632.44</v>
      </c>
      <c r="H173" s="3" t="s">
        <v>12</v>
      </c>
    </row>
    <row r="174" spans="1:8" x14ac:dyDescent="0.3">
      <c r="A174" s="2">
        <v>46084</v>
      </c>
      <c r="B174" s="1" t="s">
        <v>15</v>
      </c>
      <c r="C174" s="1" t="s">
        <v>8</v>
      </c>
      <c r="D174" s="1" t="s">
        <v>9</v>
      </c>
      <c r="E174" s="1" t="s">
        <v>10</v>
      </c>
      <c r="F174" s="1" t="s">
        <v>607</v>
      </c>
      <c r="G174" s="5">
        <v>1305</v>
      </c>
      <c r="H174" s="3" t="s">
        <v>12</v>
      </c>
    </row>
    <row r="175" spans="1:8" x14ac:dyDescent="0.3">
      <c r="A175" s="2">
        <v>46084</v>
      </c>
      <c r="B175" s="1" t="s">
        <v>15</v>
      </c>
      <c r="C175" s="1" t="s">
        <v>8</v>
      </c>
      <c r="D175" s="1" t="s">
        <v>9</v>
      </c>
      <c r="E175" s="1" t="s">
        <v>10</v>
      </c>
      <c r="F175" s="1" t="s">
        <v>608</v>
      </c>
      <c r="G175" s="5">
        <v>495.01</v>
      </c>
      <c r="H175" s="3" t="s">
        <v>12</v>
      </c>
    </row>
    <row r="176" spans="1:8" x14ac:dyDescent="0.3">
      <c r="A176" s="2">
        <v>46084</v>
      </c>
      <c r="B176" s="1" t="s">
        <v>34</v>
      </c>
      <c r="C176" s="1" t="s">
        <v>8</v>
      </c>
      <c r="D176" s="1" t="s">
        <v>9</v>
      </c>
      <c r="E176" s="1" t="s">
        <v>10</v>
      </c>
      <c r="F176" s="1" t="s">
        <v>609</v>
      </c>
      <c r="G176" s="5">
        <v>1170.2</v>
      </c>
      <c r="H176" s="3" t="s">
        <v>12</v>
      </c>
    </row>
    <row r="177" spans="1:8" x14ac:dyDescent="0.3">
      <c r="A177" s="2">
        <v>46084</v>
      </c>
      <c r="B177" s="1" t="s">
        <v>34</v>
      </c>
      <c r="C177" s="1" t="s">
        <v>102</v>
      </c>
      <c r="D177" s="1" t="s">
        <v>9</v>
      </c>
      <c r="E177" s="1" t="s">
        <v>10</v>
      </c>
      <c r="F177" s="1" t="s">
        <v>610</v>
      </c>
      <c r="G177" s="5">
        <v>1562.51</v>
      </c>
      <c r="H177" s="3" t="s">
        <v>12</v>
      </c>
    </row>
    <row r="178" spans="1:8" x14ac:dyDescent="0.3">
      <c r="A178" s="2">
        <v>46083</v>
      </c>
      <c r="B178" s="1" t="s">
        <v>45</v>
      </c>
      <c r="C178" s="1" t="s">
        <v>8</v>
      </c>
      <c r="D178" s="1" t="s">
        <v>9</v>
      </c>
      <c r="E178" s="1" t="s">
        <v>10</v>
      </c>
      <c r="F178" s="1" t="s">
        <v>611</v>
      </c>
      <c r="G178" s="5">
        <v>1284.97</v>
      </c>
      <c r="H178" s="3" t="s">
        <v>12</v>
      </c>
    </row>
    <row r="179" spans="1:8" x14ac:dyDescent="0.3">
      <c r="A179" s="2">
        <v>46083</v>
      </c>
      <c r="B179" s="1" t="s">
        <v>218</v>
      </c>
      <c r="C179" s="1" t="s">
        <v>30</v>
      </c>
      <c r="D179" s="1" t="s">
        <v>9</v>
      </c>
      <c r="E179" s="1" t="s">
        <v>10</v>
      </c>
      <c r="F179" s="1" t="s">
        <v>612</v>
      </c>
      <c r="G179" s="5">
        <v>66</v>
      </c>
      <c r="H179" s="3" t="s">
        <v>12</v>
      </c>
    </row>
    <row r="180" spans="1:8" x14ac:dyDescent="0.3">
      <c r="A180" s="2">
        <v>46083</v>
      </c>
      <c r="B180" s="1" t="s">
        <v>29</v>
      </c>
      <c r="C180" s="1" t="s">
        <v>20</v>
      </c>
      <c r="D180" s="1" t="s">
        <v>9</v>
      </c>
      <c r="E180" s="1" t="s">
        <v>10</v>
      </c>
      <c r="F180" s="1" t="s">
        <v>613</v>
      </c>
      <c r="G180" s="5">
        <v>2682</v>
      </c>
      <c r="H180" s="3" t="s">
        <v>12</v>
      </c>
    </row>
    <row r="181" spans="1:8" x14ac:dyDescent="0.3">
      <c r="A181" s="2">
        <v>46083</v>
      </c>
      <c r="B181" s="1" t="s">
        <v>34</v>
      </c>
      <c r="C181" s="1" t="s">
        <v>8</v>
      </c>
      <c r="D181" s="1" t="s">
        <v>9</v>
      </c>
      <c r="E181" s="1" t="s">
        <v>10</v>
      </c>
      <c r="F181" s="1" t="s">
        <v>614</v>
      </c>
      <c r="G181" s="5">
        <v>429.77</v>
      </c>
      <c r="H181" s="3" t="s">
        <v>12</v>
      </c>
    </row>
    <row r="182" spans="1:8" x14ac:dyDescent="0.3">
      <c r="A182" s="2">
        <v>46083</v>
      </c>
      <c r="B182" s="1" t="s">
        <v>34</v>
      </c>
      <c r="C182" s="1" t="s">
        <v>8</v>
      </c>
      <c r="D182" s="1" t="s">
        <v>9</v>
      </c>
      <c r="E182" s="1" t="s">
        <v>10</v>
      </c>
      <c r="F182" s="1" t="s">
        <v>615</v>
      </c>
      <c r="G182" s="5">
        <v>1196.3499999999999</v>
      </c>
      <c r="H182" s="3" t="s">
        <v>12</v>
      </c>
    </row>
    <row r="183" spans="1:8" x14ac:dyDescent="0.3">
      <c r="A183" s="2">
        <v>46083</v>
      </c>
      <c r="B183" s="1" t="s">
        <v>34</v>
      </c>
      <c r="C183" s="1" t="s">
        <v>8</v>
      </c>
      <c r="D183" s="1" t="s">
        <v>9</v>
      </c>
      <c r="E183" s="1" t="s">
        <v>10</v>
      </c>
      <c r="F183" s="1" t="s">
        <v>616</v>
      </c>
      <c r="G183" s="5">
        <v>237.88</v>
      </c>
      <c r="H183" s="3" t="s">
        <v>12</v>
      </c>
    </row>
    <row r="184" spans="1:8" x14ac:dyDescent="0.3">
      <c r="A184" s="2">
        <v>46083</v>
      </c>
      <c r="B184" s="1" t="s">
        <v>45</v>
      </c>
      <c r="C184" s="1" t="s">
        <v>8</v>
      </c>
      <c r="D184" s="1" t="s">
        <v>23</v>
      </c>
      <c r="E184" s="1" t="s">
        <v>10</v>
      </c>
      <c r="F184" s="1" t="s">
        <v>617</v>
      </c>
      <c r="G184" s="5">
        <v>2497.29</v>
      </c>
      <c r="H184" s="3" t="s">
        <v>12</v>
      </c>
    </row>
    <row r="185" spans="1:8" x14ac:dyDescent="0.3">
      <c r="A185" s="2">
        <v>46083</v>
      </c>
      <c r="B185" s="1" t="s">
        <v>226</v>
      </c>
      <c r="C185" s="1" t="s">
        <v>20</v>
      </c>
      <c r="D185" s="1" t="s">
        <v>9</v>
      </c>
      <c r="E185" s="1" t="s">
        <v>10</v>
      </c>
      <c r="F185" s="1" t="s">
        <v>618</v>
      </c>
      <c r="G185" s="5">
        <v>22085.27</v>
      </c>
      <c r="H185" s="3" t="s">
        <v>12</v>
      </c>
    </row>
    <row r="186" spans="1:8" x14ac:dyDescent="0.3">
      <c r="A186" s="2">
        <v>46083</v>
      </c>
      <c r="B186" s="1" t="s">
        <v>154</v>
      </c>
      <c r="C186" s="1" t="s">
        <v>8</v>
      </c>
      <c r="D186" s="1" t="s">
        <v>9</v>
      </c>
      <c r="E186" s="1" t="s">
        <v>10</v>
      </c>
      <c r="F186" s="1" t="s">
        <v>619</v>
      </c>
      <c r="G186" s="5">
        <v>16724.38</v>
      </c>
      <c r="H186" s="3" t="s">
        <v>12</v>
      </c>
    </row>
    <row r="187" spans="1:8" x14ac:dyDescent="0.3">
      <c r="A187" s="2">
        <v>46083</v>
      </c>
      <c r="B187" s="1" t="s">
        <v>226</v>
      </c>
      <c r="C187" s="1" t="s">
        <v>102</v>
      </c>
      <c r="D187" s="1" t="s">
        <v>9</v>
      </c>
      <c r="E187" s="1" t="s">
        <v>10</v>
      </c>
      <c r="F187" s="1" t="s">
        <v>620</v>
      </c>
      <c r="G187" s="5">
        <v>1426.34</v>
      </c>
      <c r="H187" s="3" t="s">
        <v>12</v>
      </c>
    </row>
    <row r="188" spans="1:8" x14ac:dyDescent="0.3">
      <c r="A188" s="2">
        <v>46083</v>
      </c>
      <c r="B188" s="1" t="s">
        <v>226</v>
      </c>
      <c r="C188" s="1" t="s">
        <v>20</v>
      </c>
      <c r="D188" s="1" t="s">
        <v>9</v>
      </c>
      <c r="E188" s="1" t="s">
        <v>10</v>
      </c>
      <c r="F188" s="1" t="s">
        <v>621</v>
      </c>
      <c r="G188" s="5">
        <v>2193.89</v>
      </c>
      <c r="H188" s="3" t="s">
        <v>12</v>
      </c>
    </row>
    <row r="189" spans="1:8" x14ac:dyDescent="0.3">
      <c r="A189" s="2">
        <v>46083</v>
      </c>
      <c r="B189" s="1" t="s">
        <v>163</v>
      </c>
      <c r="C189" s="1" t="s">
        <v>8</v>
      </c>
      <c r="D189" s="1" t="s">
        <v>9</v>
      </c>
      <c r="E189" s="1" t="s">
        <v>28</v>
      </c>
      <c r="F189" s="1" t="s">
        <v>622</v>
      </c>
      <c r="G189" s="5">
        <v>262.64999999999998</v>
      </c>
      <c r="H189" s="3" t="s">
        <v>12</v>
      </c>
    </row>
    <row r="190" spans="1:8" x14ac:dyDescent="0.3">
      <c r="G190" s="8">
        <f>SUM(G2:G189)</f>
        <v>1350532.52</v>
      </c>
    </row>
  </sheetData>
  <autoFilter ref="A1:H190" xr:uid="{CD046FA1-5065-417D-8837-BB6CDD303DEA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49771-E94F-462C-959F-F3CE1AECED4E}">
  <dimension ref="A1:H154"/>
  <sheetViews>
    <sheetView workbookViewId="0">
      <selection activeCell="A7" sqref="A7:H153"/>
    </sheetView>
  </sheetViews>
  <sheetFormatPr baseColWidth="10" defaultRowHeight="14.4" x14ac:dyDescent="0.3"/>
  <cols>
    <col min="2" max="2" width="28.33203125" customWidth="1"/>
    <col min="4" max="4" width="20.109375" customWidth="1"/>
    <col min="5" max="5" width="14.6640625" customWidth="1"/>
    <col min="6" max="6" width="43" customWidth="1"/>
    <col min="7" max="7" width="14" bestFit="1" customWidth="1"/>
    <col min="8" max="8" width="11.5546875" style="4"/>
  </cols>
  <sheetData>
    <row r="1" spans="1:8" ht="33.6" customHeight="1" x14ac:dyDescent="0.3">
      <c r="A1" s="6" t="s">
        <v>0</v>
      </c>
      <c r="B1" s="6" t="s">
        <v>1</v>
      </c>
      <c r="C1" s="6" t="s">
        <v>2</v>
      </c>
      <c r="D1" s="6" t="s">
        <v>238</v>
      </c>
      <c r="E1" s="6" t="s">
        <v>3</v>
      </c>
      <c r="F1" s="6" t="s">
        <v>4</v>
      </c>
      <c r="G1" s="6" t="s">
        <v>5</v>
      </c>
      <c r="H1" s="6" t="s">
        <v>6</v>
      </c>
    </row>
    <row r="2" spans="1:8" x14ac:dyDescent="0.3">
      <c r="A2" s="2">
        <v>46142</v>
      </c>
      <c r="B2" s="1" t="s">
        <v>34</v>
      </c>
      <c r="C2" s="1" t="s">
        <v>8</v>
      </c>
      <c r="D2" s="1" t="s">
        <v>9</v>
      </c>
      <c r="E2" s="1" t="s">
        <v>10</v>
      </c>
      <c r="F2" s="1" t="s">
        <v>626</v>
      </c>
      <c r="G2" s="5">
        <v>1791.18</v>
      </c>
      <c r="H2" s="3" t="s">
        <v>12</v>
      </c>
    </row>
    <row r="3" spans="1:8" x14ac:dyDescent="0.3">
      <c r="A3" s="2">
        <v>46142</v>
      </c>
      <c r="B3" s="1" t="s">
        <v>53</v>
      </c>
      <c r="C3" s="1" t="s">
        <v>20</v>
      </c>
      <c r="D3" s="1" t="s">
        <v>9</v>
      </c>
      <c r="E3" s="1" t="s">
        <v>10</v>
      </c>
      <c r="F3" s="1" t="s">
        <v>455</v>
      </c>
      <c r="G3" s="5">
        <v>290</v>
      </c>
      <c r="H3" s="3" t="s">
        <v>12</v>
      </c>
    </row>
    <row r="4" spans="1:8" x14ac:dyDescent="0.3">
      <c r="A4" s="2">
        <v>46142</v>
      </c>
      <c r="B4" s="1" t="s">
        <v>53</v>
      </c>
      <c r="C4" s="1" t="s">
        <v>102</v>
      </c>
      <c r="D4" s="1" t="s">
        <v>9</v>
      </c>
      <c r="E4" s="1" t="s">
        <v>28</v>
      </c>
      <c r="F4" s="1" t="s">
        <v>456</v>
      </c>
      <c r="G4" s="5">
        <v>2244.08</v>
      </c>
      <c r="H4" s="3" t="s">
        <v>12</v>
      </c>
    </row>
    <row r="5" spans="1:8" x14ac:dyDescent="0.3">
      <c r="A5" s="2">
        <v>46142</v>
      </c>
      <c r="B5" s="1" t="s">
        <v>53</v>
      </c>
      <c r="C5" s="1" t="s">
        <v>8</v>
      </c>
      <c r="D5" s="1" t="s">
        <v>9</v>
      </c>
      <c r="E5" s="1" t="s">
        <v>10</v>
      </c>
      <c r="F5" s="1" t="s">
        <v>627</v>
      </c>
      <c r="G5" s="5">
        <v>3105.15</v>
      </c>
      <c r="H5" s="3" t="s">
        <v>12</v>
      </c>
    </row>
    <row r="6" spans="1:8" x14ac:dyDescent="0.3">
      <c r="A6" s="2">
        <v>46142</v>
      </c>
      <c r="B6" s="1" t="s">
        <v>53</v>
      </c>
      <c r="C6" s="1" t="s">
        <v>20</v>
      </c>
      <c r="D6" s="1" t="s">
        <v>9</v>
      </c>
      <c r="E6" s="1" t="s">
        <v>10</v>
      </c>
      <c r="F6" s="1" t="s">
        <v>628</v>
      </c>
      <c r="G6" s="5">
        <v>1252.8</v>
      </c>
      <c r="H6" s="3" t="s">
        <v>12</v>
      </c>
    </row>
    <row r="7" spans="1:8" x14ac:dyDescent="0.3">
      <c r="A7" s="2">
        <v>46142</v>
      </c>
      <c r="B7" s="1" t="s">
        <v>55</v>
      </c>
      <c r="C7" s="1" t="s">
        <v>20</v>
      </c>
      <c r="D7" s="1" t="s">
        <v>9</v>
      </c>
      <c r="E7" s="1" t="s">
        <v>629</v>
      </c>
      <c r="F7" s="1" t="s">
        <v>630</v>
      </c>
      <c r="G7" s="5">
        <v>11538.19</v>
      </c>
      <c r="H7" s="3" t="s">
        <v>12</v>
      </c>
    </row>
    <row r="8" spans="1:8" x14ac:dyDescent="0.3">
      <c r="A8" s="2">
        <v>46142</v>
      </c>
      <c r="B8" s="1" t="s">
        <v>29</v>
      </c>
      <c r="C8" s="1" t="s">
        <v>30</v>
      </c>
      <c r="D8" s="1" t="s">
        <v>23</v>
      </c>
      <c r="E8" s="1" t="s">
        <v>10</v>
      </c>
      <c r="F8" s="1" t="s">
        <v>631</v>
      </c>
      <c r="G8" s="5">
        <v>1125</v>
      </c>
      <c r="H8" s="3" t="s">
        <v>12</v>
      </c>
    </row>
    <row r="9" spans="1:8" x14ac:dyDescent="0.3">
      <c r="A9" s="2">
        <v>46142</v>
      </c>
      <c r="B9" s="1" t="s">
        <v>29</v>
      </c>
      <c r="C9" s="1" t="s">
        <v>30</v>
      </c>
      <c r="D9" s="1" t="s">
        <v>23</v>
      </c>
      <c r="E9" s="1" t="s">
        <v>28</v>
      </c>
      <c r="F9" s="1" t="s">
        <v>631</v>
      </c>
      <c r="G9" s="5">
        <v>1125</v>
      </c>
      <c r="H9" s="3" t="s">
        <v>12</v>
      </c>
    </row>
    <row r="10" spans="1:8" x14ac:dyDescent="0.3">
      <c r="A10" s="2">
        <v>46142</v>
      </c>
      <c r="B10" s="1" t="s">
        <v>79</v>
      </c>
      <c r="C10" s="1" t="s">
        <v>262</v>
      </c>
      <c r="D10" s="1" t="s">
        <v>9</v>
      </c>
      <c r="E10" s="1" t="s">
        <v>10</v>
      </c>
      <c r="F10" s="1" t="s">
        <v>632</v>
      </c>
      <c r="G10" s="5">
        <v>9764.7800000000007</v>
      </c>
      <c r="H10" s="3" t="s">
        <v>12</v>
      </c>
    </row>
    <row r="11" spans="1:8" x14ac:dyDescent="0.3">
      <c r="A11" s="2">
        <v>46141</v>
      </c>
      <c r="B11" s="1" t="s">
        <v>34</v>
      </c>
      <c r="C11" s="1" t="s">
        <v>633</v>
      </c>
      <c r="D11" s="1" t="s">
        <v>9</v>
      </c>
      <c r="E11" s="1" t="s">
        <v>10</v>
      </c>
      <c r="F11" s="1" t="s">
        <v>634</v>
      </c>
      <c r="G11" s="5">
        <v>855.33</v>
      </c>
      <c r="H11" s="3" t="s">
        <v>12</v>
      </c>
    </row>
    <row r="12" spans="1:8" x14ac:dyDescent="0.3">
      <c r="A12" s="2">
        <v>46141</v>
      </c>
      <c r="B12" s="1" t="s">
        <v>29</v>
      </c>
      <c r="C12" s="1" t="s">
        <v>8</v>
      </c>
      <c r="D12" s="1" t="s">
        <v>9</v>
      </c>
      <c r="E12" s="1" t="s">
        <v>10</v>
      </c>
      <c r="F12" s="1" t="s">
        <v>484</v>
      </c>
      <c r="G12" s="5">
        <v>228.99</v>
      </c>
      <c r="H12" s="3" t="s">
        <v>12</v>
      </c>
    </row>
    <row r="13" spans="1:8" x14ac:dyDescent="0.3">
      <c r="A13" s="2">
        <v>46140</v>
      </c>
      <c r="B13" s="1" t="s">
        <v>50</v>
      </c>
      <c r="C13" s="1" t="s">
        <v>8</v>
      </c>
      <c r="D13" s="1" t="s">
        <v>9</v>
      </c>
      <c r="E13" s="1" t="s">
        <v>10</v>
      </c>
      <c r="F13" s="1" t="s">
        <v>635</v>
      </c>
      <c r="G13" s="5">
        <v>176</v>
      </c>
      <c r="H13" s="3" t="s">
        <v>12</v>
      </c>
    </row>
    <row r="14" spans="1:8" x14ac:dyDescent="0.3">
      <c r="A14" s="2">
        <v>46140</v>
      </c>
      <c r="B14" s="1" t="s">
        <v>50</v>
      </c>
      <c r="C14" s="1" t="s">
        <v>30</v>
      </c>
      <c r="D14" s="1" t="s">
        <v>23</v>
      </c>
      <c r="E14" s="1" t="s">
        <v>28</v>
      </c>
      <c r="F14" s="1" t="s">
        <v>636</v>
      </c>
      <c r="G14" s="5">
        <v>93</v>
      </c>
      <c r="H14" s="3" t="s">
        <v>12</v>
      </c>
    </row>
    <row r="15" spans="1:8" x14ac:dyDescent="0.3">
      <c r="A15" s="2">
        <v>46139</v>
      </c>
      <c r="B15" s="1" t="s">
        <v>34</v>
      </c>
      <c r="C15" s="1" t="s">
        <v>8</v>
      </c>
      <c r="D15" s="1" t="s">
        <v>9</v>
      </c>
      <c r="E15" s="1" t="s">
        <v>10</v>
      </c>
      <c r="F15" s="1" t="s">
        <v>637</v>
      </c>
      <c r="G15" s="5">
        <v>500</v>
      </c>
      <c r="H15" s="3" t="s">
        <v>12</v>
      </c>
    </row>
    <row r="16" spans="1:8" x14ac:dyDescent="0.3">
      <c r="A16" s="2">
        <v>46139</v>
      </c>
      <c r="B16" s="1" t="s">
        <v>34</v>
      </c>
      <c r="C16" s="1" t="s">
        <v>633</v>
      </c>
      <c r="D16" s="1" t="s">
        <v>9</v>
      </c>
      <c r="E16" s="1" t="s">
        <v>10</v>
      </c>
      <c r="F16" s="1" t="s">
        <v>638</v>
      </c>
      <c r="G16" s="5">
        <v>800</v>
      </c>
      <c r="H16" s="3" t="s">
        <v>12</v>
      </c>
    </row>
    <row r="17" spans="1:8" x14ac:dyDescent="0.3">
      <c r="A17" s="2">
        <v>46139</v>
      </c>
      <c r="B17" s="1" t="s">
        <v>34</v>
      </c>
      <c r="C17" s="1" t="s">
        <v>8</v>
      </c>
      <c r="D17" s="1" t="s">
        <v>9</v>
      </c>
      <c r="E17" s="1" t="s">
        <v>10</v>
      </c>
      <c r="F17" s="1" t="s">
        <v>639</v>
      </c>
      <c r="G17" s="5">
        <v>800</v>
      </c>
      <c r="H17" s="3" t="s">
        <v>12</v>
      </c>
    </row>
    <row r="18" spans="1:8" x14ac:dyDescent="0.3">
      <c r="A18" s="2">
        <v>46139</v>
      </c>
      <c r="B18" s="1" t="s">
        <v>29</v>
      </c>
      <c r="C18" s="1" t="s">
        <v>30</v>
      </c>
      <c r="D18" s="1" t="s">
        <v>23</v>
      </c>
      <c r="E18" s="1" t="s">
        <v>10</v>
      </c>
      <c r="F18" s="1" t="s">
        <v>640</v>
      </c>
      <c r="G18" s="5">
        <v>349</v>
      </c>
      <c r="H18" s="3" t="s">
        <v>12</v>
      </c>
    </row>
    <row r="19" spans="1:8" x14ac:dyDescent="0.3">
      <c r="A19" s="2">
        <v>46139</v>
      </c>
      <c r="B19" s="1" t="s">
        <v>13</v>
      </c>
      <c r="C19" s="1" t="s">
        <v>8</v>
      </c>
      <c r="D19" s="1" t="s">
        <v>9</v>
      </c>
      <c r="E19" s="1" t="s">
        <v>10</v>
      </c>
      <c r="F19" s="1" t="s">
        <v>641</v>
      </c>
      <c r="G19" s="5">
        <v>165.32</v>
      </c>
      <c r="H19" s="3" t="s">
        <v>12</v>
      </c>
    </row>
    <row r="20" spans="1:8" x14ac:dyDescent="0.3">
      <c r="A20" s="2">
        <v>46137</v>
      </c>
      <c r="B20" s="1" t="s">
        <v>79</v>
      </c>
      <c r="C20" s="1" t="s">
        <v>8</v>
      </c>
      <c r="D20" s="1" t="s">
        <v>9</v>
      </c>
      <c r="E20" s="1" t="s">
        <v>28</v>
      </c>
      <c r="F20" s="1" t="s">
        <v>642</v>
      </c>
      <c r="G20" s="5">
        <v>235</v>
      </c>
      <c r="H20" s="3" t="s">
        <v>12</v>
      </c>
    </row>
    <row r="21" spans="1:8" x14ac:dyDescent="0.3">
      <c r="A21" s="2">
        <v>46137</v>
      </c>
      <c r="B21" s="1" t="s">
        <v>79</v>
      </c>
      <c r="C21" s="1" t="s">
        <v>8</v>
      </c>
      <c r="D21" s="1" t="s">
        <v>9</v>
      </c>
      <c r="E21" s="1" t="s">
        <v>10</v>
      </c>
      <c r="F21" s="1" t="s">
        <v>643</v>
      </c>
      <c r="G21" s="5">
        <v>126.6</v>
      </c>
      <c r="H21" s="3" t="s">
        <v>12</v>
      </c>
    </row>
    <row r="22" spans="1:8" x14ac:dyDescent="0.3">
      <c r="A22" s="2">
        <v>46137</v>
      </c>
      <c r="B22" s="1" t="s">
        <v>60</v>
      </c>
      <c r="C22" s="1" t="s">
        <v>30</v>
      </c>
      <c r="D22" s="1" t="s">
        <v>9</v>
      </c>
      <c r="E22" s="1" t="s">
        <v>215</v>
      </c>
      <c r="F22" s="1" t="s">
        <v>644</v>
      </c>
      <c r="G22" s="5">
        <v>1100</v>
      </c>
      <c r="H22" s="3" t="s">
        <v>12</v>
      </c>
    </row>
    <row r="23" spans="1:8" x14ac:dyDescent="0.3">
      <c r="A23" s="2">
        <v>46136</v>
      </c>
      <c r="B23" s="1" t="s">
        <v>25</v>
      </c>
      <c r="C23" s="1" t="s">
        <v>20</v>
      </c>
      <c r="D23" s="1" t="s">
        <v>9</v>
      </c>
      <c r="E23" s="1" t="s">
        <v>26</v>
      </c>
      <c r="F23" s="1" t="s">
        <v>645</v>
      </c>
      <c r="G23" s="5">
        <v>151184.53</v>
      </c>
      <c r="H23" s="3" t="s">
        <v>12</v>
      </c>
    </row>
    <row r="24" spans="1:8" x14ac:dyDescent="0.3">
      <c r="A24" s="2">
        <v>46136</v>
      </c>
      <c r="B24" s="1" t="s">
        <v>25</v>
      </c>
      <c r="C24" s="1" t="s">
        <v>20</v>
      </c>
      <c r="D24" s="1" t="s">
        <v>9</v>
      </c>
      <c r="E24" s="1" t="s">
        <v>28</v>
      </c>
      <c r="F24" s="1" t="s">
        <v>645</v>
      </c>
      <c r="G24" s="5">
        <v>13409.69</v>
      </c>
      <c r="H24" s="3" t="s">
        <v>12</v>
      </c>
    </row>
    <row r="25" spans="1:8" x14ac:dyDescent="0.3">
      <c r="A25" s="2">
        <v>46136</v>
      </c>
      <c r="B25" s="1" t="s">
        <v>70</v>
      </c>
      <c r="C25" s="1" t="s">
        <v>20</v>
      </c>
      <c r="D25" s="1" t="s">
        <v>9</v>
      </c>
      <c r="E25" s="1" t="s">
        <v>71</v>
      </c>
      <c r="F25" s="1" t="s">
        <v>646</v>
      </c>
      <c r="G25" s="5">
        <v>24996.41</v>
      </c>
      <c r="H25" s="3" t="s">
        <v>12</v>
      </c>
    </row>
    <row r="26" spans="1:8" x14ac:dyDescent="0.3">
      <c r="A26" s="2">
        <v>46136</v>
      </c>
      <c r="B26" s="1" t="s">
        <v>34</v>
      </c>
      <c r="C26" s="1" t="s">
        <v>8</v>
      </c>
      <c r="D26" s="1" t="s">
        <v>9</v>
      </c>
      <c r="E26" s="1" t="s">
        <v>10</v>
      </c>
      <c r="F26" s="1" t="s">
        <v>647</v>
      </c>
      <c r="G26" s="5">
        <v>1766.91</v>
      </c>
      <c r="H26" s="3" t="s">
        <v>12</v>
      </c>
    </row>
    <row r="27" spans="1:8" x14ac:dyDescent="0.3">
      <c r="A27" s="2">
        <v>46136</v>
      </c>
      <c r="B27" s="1" t="s">
        <v>45</v>
      </c>
      <c r="C27" s="1" t="s">
        <v>8</v>
      </c>
      <c r="D27" s="1" t="s">
        <v>9</v>
      </c>
      <c r="E27" s="1" t="s">
        <v>10</v>
      </c>
      <c r="F27" s="1" t="s">
        <v>648</v>
      </c>
      <c r="G27" s="5">
        <v>5566.41</v>
      </c>
      <c r="H27" s="3" t="s">
        <v>12</v>
      </c>
    </row>
    <row r="28" spans="1:8" x14ac:dyDescent="0.3">
      <c r="A28" s="2">
        <v>46136</v>
      </c>
      <c r="B28" s="1" t="s">
        <v>45</v>
      </c>
      <c r="C28" s="1" t="s">
        <v>8</v>
      </c>
      <c r="D28" s="1" t="s">
        <v>9</v>
      </c>
      <c r="E28" s="1" t="s">
        <v>10</v>
      </c>
      <c r="F28" s="1" t="s">
        <v>649</v>
      </c>
      <c r="G28" s="5">
        <v>2981.5</v>
      </c>
      <c r="H28" s="3" t="s">
        <v>12</v>
      </c>
    </row>
    <row r="29" spans="1:8" x14ac:dyDescent="0.3">
      <c r="A29" s="2">
        <v>46136</v>
      </c>
      <c r="B29" s="1" t="s">
        <v>163</v>
      </c>
      <c r="C29" s="1" t="s">
        <v>43</v>
      </c>
      <c r="D29" s="1" t="s">
        <v>9</v>
      </c>
      <c r="E29" s="1" t="s">
        <v>10</v>
      </c>
      <c r="F29" s="1" t="s">
        <v>650</v>
      </c>
      <c r="G29" s="5">
        <v>5541.99</v>
      </c>
      <c r="H29" s="3" t="s">
        <v>12</v>
      </c>
    </row>
    <row r="30" spans="1:8" x14ac:dyDescent="0.3">
      <c r="A30" s="2">
        <v>46135</v>
      </c>
      <c r="B30" s="1" t="s">
        <v>79</v>
      </c>
      <c r="C30" s="1" t="s">
        <v>30</v>
      </c>
      <c r="D30" s="1" t="s">
        <v>9</v>
      </c>
      <c r="E30" s="1" t="s">
        <v>10</v>
      </c>
      <c r="F30" s="1" t="s">
        <v>651</v>
      </c>
      <c r="G30" s="5">
        <v>75</v>
      </c>
      <c r="H30" s="3" t="s">
        <v>12</v>
      </c>
    </row>
    <row r="31" spans="1:8" x14ac:dyDescent="0.3">
      <c r="A31" s="2">
        <v>46135</v>
      </c>
      <c r="B31" s="1" t="s">
        <v>55</v>
      </c>
      <c r="C31" s="1" t="s">
        <v>8</v>
      </c>
      <c r="D31" s="1" t="s">
        <v>9</v>
      </c>
      <c r="E31" s="1" t="s">
        <v>10</v>
      </c>
      <c r="F31" s="1" t="s">
        <v>652</v>
      </c>
      <c r="G31" s="5">
        <v>500</v>
      </c>
      <c r="H31" s="3" t="s">
        <v>12</v>
      </c>
    </row>
    <row r="32" spans="1:8" x14ac:dyDescent="0.3">
      <c r="A32" s="2">
        <v>46135</v>
      </c>
      <c r="B32" s="1" t="s">
        <v>34</v>
      </c>
      <c r="C32" s="1" t="s">
        <v>8</v>
      </c>
      <c r="D32" s="1" t="s">
        <v>9</v>
      </c>
      <c r="E32" s="1" t="s">
        <v>10</v>
      </c>
      <c r="F32" s="1" t="s">
        <v>653</v>
      </c>
      <c r="G32" s="5">
        <v>1389.22</v>
      </c>
      <c r="H32" s="3" t="s">
        <v>12</v>
      </c>
    </row>
    <row r="33" spans="1:8" x14ac:dyDescent="0.3">
      <c r="A33" s="2">
        <v>46134</v>
      </c>
      <c r="B33" s="1" t="s">
        <v>17</v>
      </c>
      <c r="C33" s="1" t="s">
        <v>20</v>
      </c>
      <c r="D33" s="1" t="s">
        <v>9</v>
      </c>
      <c r="E33" s="1" t="s">
        <v>10</v>
      </c>
      <c r="F33" s="1" t="s">
        <v>654</v>
      </c>
      <c r="G33" s="5">
        <v>327.76</v>
      </c>
      <c r="H33" s="3" t="s">
        <v>12</v>
      </c>
    </row>
    <row r="34" spans="1:8" x14ac:dyDescent="0.3">
      <c r="A34" s="2">
        <v>46134</v>
      </c>
      <c r="B34" s="1" t="s">
        <v>34</v>
      </c>
      <c r="C34" s="1" t="s">
        <v>8</v>
      </c>
      <c r="D34" s="1" t="s">
        <v>9</v>
      </c>
      <c r="E34" s="1" t="s">
        <v>10</v>
      </c>
      <c r="F34" s="1" t="s">
        <v>655</v>
      </c>
      <c r="G34" s="5">
        <v>580.5</v>
      </c>
      <c r="H34" s="3" t="s">
        <v>12</v>
      </c>
    </row>
    <row r="35" spans="1:8" x14ac:dyDescent="0.3">
      <c r="A35" s="2">
        <v>46134</v>
      </c>
      <c r="B35" s="1" t="s">
        <v>50</v>
      </c>
      <c r="C35" s="1" t="s">
        <v>30</v>
      </c>
      <c r="D35" s="1" t="s">
        <v>23</v>
      </c>
      <c r="E35" s="1" t="s">
        <v>10</v>
      </c>
      <c r="F35" s="1" t="s">
        <v>656</v>
      </c>
      <c r="G35" s="5">
        <v>93</v>
      </c>
      <c r="H35" s="3" t="s">
        <v>12</v>
      </c>
    </row>
    <row r="36" spans="1:8" x14ac:dyDescent="0.3">
      <c r="A36" s="2">
        <v>46134</v>
      </c>
      <c r="B36" s="1" t="s">
        <v>13</v>
      </c>
      <c r="C36" s="1" t="s">
        <v>30</v>
      </c>
      <c r="D36" s="1" t="s">
        <v>9</v>
      </c>
      <c r="E36" s="1" t="s">
        <v>10</v>
      </c>
      <c r="F36" s="1" t="s">
        <v>657</v>
      </c>
      <c r="G36" s="5">
        <v>300</v>
      </c>
      <c r="H36" s="3" t="s">
        <v>12</v>
      </c>
    </row>
    <row r="37" spans="1:8" x14ac:dyDescent="0.3">
      <c r="A37" s="2">
        <v>46134</v>
      </c>
      <c r="B37" s="1" t="s">
        <v>79</v>
      </c>
      <c r="C37" s="1" t="s">
        <v>8</v>
      </c>
      <c r="D37" s="1" t="s">
        <v>9</v>
      </c>
      <c r="E37" s="1" t="s">
        <v>10</v>
      </c>
      <c r="F37" s="1" t="s">
        <v>658</v>
      </c>
      <c r="G37" s="5">
        <v>110</v>
      </c>
      <c r="H37" s="3" t="s">
        <v>12</v>
      </c>
    </row>
    <row r="38" spans="1:8" x14ac:dyDescent="0.3">
      <c r="A38" s="2">
        <v>46134</v>
      </c>
      <c r="B38" s="1" t="s">
        <v>55</v>
      </c>
      <c r="C38" s="1" t="s">
        <v>8</v>
      </c>
      <c r="D38" s="1" t="s">
        <v>9</v>
      </c>
      <c r="E38" s="1" t="s">
        <v>10</v>
      </c>
      <c r="F38" s="1" t="s">
        <v>659</v>
      </c>
      <c r="G38" s="5">
        <v>86.9</v>
      </c>
      <c r="H38" s="3" t="s">
        <v>12</v>
      </c>
    </row>
    <row r="39" spans="1:8" x14ac:dyDescent="0.3">
      <c r="A39" s="2">
        <v>46134</v>
      </c>
      <c r="B39" s="1" t="s">
        <v>55</v>
      </c>
      <c r="C39" s="1" t="s">
        <v>8</v>
      </c>
      <c r="D39" s="1" t="s">
        <v>9</v>
      </c>
      <c r="E39" s="1" t="s">
        <v>10</v>
      </c>
      <c r="F39" s="1" t="s">
        <v>660</v>
      </c>
      <c r="G39" s="5">
        <v>235</v>
      </c>
      <c r="H39" s="3" t="s">
        <v>12</v>
      </c>
    </row>
    <row r="40" spans="1:8" x14ac:dyDescent="0.3">
      <c r="A40" s="2">
        <v>46134</v>
      </c>
      <c r="B40" s="1" t="s">
        <v>17</v>
      </c>
      <c r="C40" s="1" t="s">
        <v>20</v>
      </c>
      <c r="D40" s="1" t="s">
        <v>9</v>
      </c>
      <c r="E40" s="1" t="s">
        <v>10</v>
      </c>
      <c r="F40" s="1" t="s">
        <v>661</v>
      </c>
      <c r="G40" s="5">
        <v>327.76</v>
      </c>
      <c r="H40" s="3" t="s">
        <v>12</v>
      </c>
    </row>
    <row r="41" spans="1:8" x14ac:dyDescent="0.3">
      <c r="A41" s="2">
        <v>46134</v>
      </c>
      <c r="B41" s="1" t="s">
        <v>218</v>
      </c>
      <c r="C41" s="1" t="s">
        <v>30</v>
      </c>
      <c r="D41" s="1" t="s">
        <v>9</v>
      </c>
      <c r="E41" s="1" t="s">
        <v>28</v>
      </c>
      <c r="F41" s="1" t="s">
        <v>662</v>
      </c>
      <c r="G41" s="5">
        <v>215</v>
      </c>
      <c r="H41" s="3" t="s">
        <v>12</v>
      </c>
    </row>
    <row r="42" spans="1:8" x14ac:dyDescent="0.3">
      <c r="A42" s="2">
        <v>46133</v>
      </c>
      <c r="B42" s="1" t="s">
        <v>62</v>
      </c>
      <c r="C42" s="1" t="s">
        <v>30</v>
      </c>
      <c r="D42" s="1" t="s">
        <v>9</v>
      </c>
      <c r="E42" s="1" t="s">
        <v>10</v>
      </c>
      <c r="F42" s="1" t="s">
        <v>663</v>
      </c>
      <c r="G42" s="5">
        <v>54</v>
      </c>
      <c r="H42" s="3" t="s">
        <v>12</v>
      </c>
    </row>
    <row r="43" spans="1:8" x14ac:dyDescent="0.3">
      <c r="A43" s="2">
        <v>46133</v>
      </c>
      <c r="B43" s="1" t="s">
        <v>62</v>
      </c>
      <c r="C43" s="1" t="s">
        <v>30</v>
      </c>
      <c r="D43" s="1" t="s">
        <v>9</v>
      </c>
      <c r="E43" s="1" t="s">
        <v>10</v>
      </c>
      <c r="F43" s="1" t="s">
        <v>664</v>
      </c>
      <c r="G43" s="5">
        <v>75</v>
      </c>
      <c r="H43" s="3" t="s">
        <v>12</v>
      </c>
    </row>
    <row r="44" spans="1:8" x14ac:dyDescent="0.3">
      <c r="A44" s="2">
        <v>46133</v>
      </c>
      <c r="B44" s="1" t="s">
        <v>62</v>
      </c>
      <c r="C44" s="1" t="s">
        <v>8</v>
      </c>
      <c r="D44" s="1" t="s">
        <v>9</v>
      </c>
      <c r="E44" s="1" t="s">
        <v>10</v>
      </c>
      <c r="F44" s="1" t="s">
        <v>665</v>
      </c>
      <c r="G44" s="5">
        <v>542</v>
      </c>
      <c r="H44" s="3" t="s">
        <v>12</v>
      </c>
    </row>
    <row r="45" spans="1:8" x14ac:dyDescent="0.3">
      <c r="A45" s="2">
        <v>46133</v>
      </c>
      <c r="B45" s="1" t="s">
        <v>62</v>
      </c>
      <c r="C45" s="1" t="s">
        <v>8</v>
      </c>
      <c r="D45" s="1" t="s">
        <v>9</v>
      </c>
      <c r="E45" s="1" t="s">
        <v>10</v>
      </c>
      <c r="F45" s="1" t="s">
        <v>666</v>
      </c>
      <c r="G45" s="5">
        <v>516</v>
      </c>
      <c r="H45" s="3" t="s">
        <v>12</v>
      </c>
    </row>
    <row r="46" spans="1:8" x14ac:dyDescent="0.3">
      <c r="A46" s="2">
        <v>46133</v>
      </c>
      <c r="B46" s="1" t="s">
        <v>29</v>
      </c>
      <c r="C46" s="1" t="s">
        <v>8</v>
      </c>
      <c r="D46" s="1" t="s">
        <v>9</v>
      </c>
      <c r="E46" s="1" t="s">
        <v>10</v>
      </c>
      <c r="F46" s="1" t="s">
        <v>667</v>
      </c>
      <c r="G46" s="5">
        <v>6144.63</v>
      </c>
      <c r="H46" s="3" t="s">
        <v>12</v>
      </c>
    </row>
    <row r="47" spans="1:8" x14ac:dyDescent="0.3">
      <c r="A47" s="2">
        <v>46133</v>
      </c>
      <c r="B47" s="1" t="s">
        <v>62</v>
      </c>
      <c r="C47" s="1" t="s">
        <v>8</v>
      </c>
      <c r="D47" s="1" t="s">
        <v>9</v>
      </c>
      <c r="E47" s="1" t="s">
        <v>10</v>
      </c>
      <c r="F47" s="1" t="s">
        <v>664</v>
      </c>
      <c r="G47" s="5">
        <v>213.4</v>
      </c>
      <c r="H47" s="3" t="s">
        <v>12</v>
      </c>
    </row>
    <row r="48" spans="1:8" x14ac:dyDescent="0.3">
      <c r="A48" s="2">
        <v>46133</v>
      </c>
      <c r="B48" s="1" t="s">
        <v>34</v>
      </c>
      <c r="C48" s="1" t="s">
        <v>8</v>
      </c>
      <c r="D48" s="1" t="s">
        <v>9</v>
      </c>
      <c r="E48" s="1" t="s">
        <v>10</v>
      </c>
      <c r="F48" s="1" t="s">
        <v>668</v>
      </c>
      <c r="G48" s="5">
        <v>398.24</v>
      </c>
      <c r="H48" s="3" t="s">
        <v>12</v>
      </c>
    </row>
    <row r="49" spans="1:8" x14ac:dyDescent="0.3">
      <c r="A49" s="2">
        <v>46133</v>
      </c>
      <c r="B49" s="1" t="s">
        <v>34</v>
      </c>
      <c r="C49" s="1" t="s">
        <v>8</v>
      </c>
      <c r="D49" s="1" t="s">
        <v>9</v>
      </c>
      <c r="E49" s="1" t="s">
        <v>10</v>
      </c>
      <c r="F49" s="1" t="s">
        <v>669</v>
      </c>
      <c r="G49" s="5">
        <v>630.79</v>
      </c>
      <c r="H49" s="3" t="s">
        <v>12</v>
      </c>
    </row>
    <row r="50" spans="1:8" x14ac:dyDescent="0.3">
      <c r="A50" s="2">
        <v>46133</v>
      </c>
      <c r="B50" s="1" t="s">
        <v>34</v>
      </c>
      <c r="C50" s="1" t="s">
        <v>8</v>
      </c>
      <c r="D50" s="1" t="s">
        <v>9</v>
      </c>
      <c r="E50" s="1" t="s">
        <v>10</v>
      </c>
      <c r="F50" s="1" t="s">
        <v>670</v>
      </c>
      <c r="G50" s="5">
        <v>800</v>
      </c>
      <c r="H50" s="3" t="s">
        <v>12</v>
      </c>
    </row>
    <row r="51" spans="1:8" x14ac:dyDescent="0.3">
      <c r="A51" s="2">
        <v>46133</v>
      </c>
      <c r="B51" s="1" t="s">
        <v>19</v>
      </c>
      <c r="C51" s="1" t="s">
        <v>102</v>
      </c>
      <c r="D51" s="1" t="s">
        <v>9</v>
      </c>
      <c r="E51" s="1" t="s">
        <v>10</v>
      </c>
      <c r="F51" s="1" t="s">
        <v>671</v>
      </c>
      <c r="G51" s="5">
        <v>1499</v>
      </c>
      <c r="H51" s="3" t="s">
        <v>12</v>
      </c>
    </row>
    <row r="52" spans="1:8" x14ac:dyDescent="0.3">
      <c r="A52" s="2">
        <v>46133</v>
      </c>
      <c r="B52" s="1" t="s">
        <v>154</v>
      </c>
      <c r="C52" s="1" t="s">
        <v>20</v>
      </c>
      <c r="D52" s="1" t="s">
        <v>9</v>
      </c>
      <c r="E52" s="1" t="s">
        <v>10</v>
      </c>
      <c r="F52" s="1" t="s">
        <v>334</v>
      </c>
      <c r="G52" s="5">
        <v>11665.16</v>
      </c>
      <c r="H52" s="3" t="s">
        <v>12</v>
      </c>
    </row>
    <row r="53" spans="1:8" x14ac:dyDescent="0.3">
      <c r="A53" s="2">
        <v>46133</v>
      </c>
      <c r="B53" s="1" t="s">
        <v>55</v>
      </c>
      <c r="C53" s="1" t="s">
        <v>8</v>
      </c>
      <c r="D53" s="1" t="s">
        <v>9</v>
      </c>
      <c r="E53" s="1" t="s">
        <v>10</v>
      </c>
      <c r="F53" s="1" t="s">
        <v>672</v>
      </c>
      <c r="G53" s="5">
        <v>210</v>
      </c>
      <c r="H53" s="3" t="s">
        <v>12</v>
      </c>
    </row>
    <row r="54" spans="1:8" x14ac:dyDescent="0.3">
      <c r="A54" s="2">
        <v>46133</v>
      </c>
      <c r="B54" s="1" t="s">
        <v>7</v>
      </c>
      <c r="C54" s="1" t="s">
        <v>8</v>
      </c>
      <c r="D54" s="1" t="s">
        <v>9</v>
      </c>
      <c r="E54" s="1" t="s">
        <v>10</v>
      </c>
      <c r="F54" s="1" t="s">
        <v>673</v>
      </c>
      <c r="G54" s="5">
        <v>43.68</v>
      </c>
      <c r="H54" s="3" t="s">
        <v>12</v>
      </c>
    </row>
    <row r="55" spans="1:8" x14ac:dyDescent="0.3">
      <c r="A55" s="2">
        <v>46133</v>
      </c>
      <c r="B55" s="1" t="s">
        <v>55</v>
      </c>
      <c r="C55" s="1" t="s">
        <v>8</v>
      </c>
      <c r="D55" s="1" t="s">
        <v>9</v>
      </c>
      <c r="E55" s="1" t="s">
        <v>10</v>
      </c>
      <c r="F55" s="1" t="s">
        <v>674</v>
      </c>
      <c r="G55" s="5">
        <v>210</v>
      </c>
      <c r="H55" s="3" t="s">
        <v>12</v>
      </c>
    </row>
    <row r="56" spans="1:8" x14ac:dyDescent="0.3">
      <c r="A56" s="2">
        <v>46133</v>
      </c>
      <c r="B56" s="1" t="s">
        <v>34</v>
      </c>
      <c r="C56" s="1" t="s">
        <v>8</v>
      </c>
      <c r="D56" s="1" t="s">
        <v>9</v>
      </c>
      <c r="E56" s="1" t="s">
        <v>10</v>
      </c>
      <c r="F56" s="1" t="s">
        <v>675</v>
      </c>
      <c r="G56" s="5">
        <v>1937.07</v>
      </c>
      <c r="H56" s="3" t="s">
        <v>12</v>
      </c>
    </row>
    <row r="57" spans="1:8" x14ac:dyDescent="0.3">
      <c r="A57" s="2">
        <v>46133</v>
      </c>
      <c r="B57" s="1" t="s">
        <v>34</v>
      </c>
      <c r="C57" s="1" t="s">
        <v>8</v>
      </c>
      <c r="D57" s="1" t="s">
        <v>23</v>
      </c>
      <c r="E57" s="1" t="s">
        <v>10</v>
      </c>
      <c r="F57" s="1" t="s">
        <v>676</v>
      </c>
      <c r="G57" s="5">
        <v>200</v>
      </c>
      <c r="H57" s="3" t="s">
        <v>12</v>
      </c>
    </row>
    <row r="58" spans="1:8" x14ac:dyDescent="0.3">
      <c r="A58" s="2">
        <v>46132</v>
      </c>
      <c r="B58" s="1" t="s">
        <v>34</v>
      </c>
      <c r="C58" s="1" t="s">
        <v>8</v>
      </c>
      <c r="D58" s="1" t="s">
        <v>9</v>
      </c>
      <c r="E58" s="1" t="s">
        <v>10</v>
      </c>
      <c r="F58" s="1" t="s">
        <v>677</v>
      </c>
      <c r="G58" s="5">
        <v>731.65</v>
      </c>
      <c r="H58" s="3" t="s">
        <v>12</v>
      </c>
    </row>
    <row r="59" spans="1:8" x14ac:dyDescent="0.3">
      <c r="A59" s="2">
        <v>46132</v>
      </c>
      <c r="B59" s="1" t="s">
        <v>135</v>
      </c>
      <c r="C59" s="1" t="s">
        <v>20</v>
      </c>
      <c r="D59" s="1" t="s">
        <v>9</v>
      </c>
      <c r="E59" s="1" t="s">
        <v>10</v>
      </c>
      <c r="F59" s="1" t="s">
        <v>678</v>
      </c>
      <c r="G59" s="5">
        <v>45302.32</v>
      </c>
      <c r="H59" s="3" t="s">
        <v>12</v>
      </c>
    </row>
    <row r="60" spans="1:8" x14ac:dyDescent="0.3">
      <c r="A60" s="2">
        <v>46132</v>
      </c>
      <c r="B60" s="1" t="s">
        <v>679</v>
      </c>
      <c r="C60" s="1" t="s">
        <v>20</v>
      </c>
      <c r="D60" s="1" t="s">
        <v>9</v>
      </c>
      <c r="E60" s="1" t="s">
        <v>10</v>
      </c>
      <c r="F60" s="1" t="s">
        <v>680</v>
      </c>
      <c r="G60" s="5">
        <v>17536.07</v>
      </c>
      <c r="H60" s="3" t="s">
        <v>12</v>
      </c>
    </row>
    <row r="61" spans="1:8" x14ac:dyDescent="0.3">
      <c r="A61" s="2">
        <v>46132</v>
      </c>
      <c r="B61" s="1" t="s">
        <v>55</v>
      </c>
      <c r="C61" s="1" t="s">
        <v>8</v>
      </c>
      <c r="D61" s="1" t="s">
        <v>9</v>
      </c>
      <c r="E61" s="1" t="s">
        <v>10</v>
      </c>
      <c r="F61" s="1" t="s">
        <v>681</v>
      </c>
      <c r="G61" s="5">
        <v>604.04</v>
      </c>
      <c r="H61" s="3" t="s">
        <v>12</v>
      </c>
    </row>
    <row r="62" spans="1:8" x14ac:dyDescent="0.3">
      <c r="A62" s="2">
        <v>46132</v>
      </c>
      <c r="B62" s="1" t="s">
        <v>34</v>
      </c>
      <c r="C62" s="1" t="s">
        <v>8</v>
      </c>
      <c r="D62" s="1" t="s">
        <v>9</v>
      </c>
      <c r="E62" s="1" t="s">
        <v>10</v>
      </c>
      <c r="F62" s="1" t="s">
        <v>682</v>
      </c>
      <c r="G62" s="5">
        <v>800</v>
      </c>
      <c r="H62" s="3" t="s">
        <v>12</v>
      </c>
    </row>
    <row r="63" spans="1:8" x14ac:dyDescent="0.3">
      <c r="A63" s="2">
        <v>46132</v>
      </c>
      <c r="B63" s="1" t="s">
        <v>50</v>
      </c>
      <c r="C63" s="1" t="s">
        <v>8</v>
      </c>
      <c r="D63" s="1" t="s">
        <v>9</v>
      </c>
      <c r="E63" s="1" t="s">
        <v>10</v>
      </c>
      <c r="F63" s="1" t="s">
        <v>683</v>
      </c>
      <c r="G63" s="5">
        <v>450</v>
      </c>
      <c r="H63" s="3" t="s">
        <v>12</v>
      </c>
    </row>
    <row r="64" spans="1:8" x14ac:dyDescent="0.3">
      <c r="A64" s="2">
        <v>46132</v>
      </c>
      <c r="B64" s="1" t="s">
        <v>34</v>
      </c>
      <c r="C64" s="1" t="s">
        <v>8</v>
      </c>
      <c r="D64" s="1" t="s">
        <v>9</v>
      </c>
      <c r="E64" s="1" t="s">
        <v>10</v>
      </c>
      <c r="F64" s="1" t="s">
        <v>684</v>
      </c>
      <c r="G64" s="5">
        <v>859.08</v>
      </c>
      <c r="H64" s="3" t="s">
        <v>12</v>
      </c>
    </row>
    <row r="65" spans="1:8" x14ac:dyDescent="0.3">
      <c r="A65" s="2">
        <v>46129</v>
      </c>
      <c r="B65" s="1" t="s">
        <v>25</v>
      </c>
      <c r="C65" s="1" t="s">
        <v>20</v>
      </c>
      <c r="D65" s="1" t="s">
        <v>9</v>
      </c>
      <c r="E65" s="1" t="s">
        <v>26</v>
      </c>
      <c r="F65" s="1" t="s">
        <v>685</v>
      </c>
      <c r="G65" s="5">
        <v>158430.37</v>
      </c>
      <c r="H65" s="3" t="s">
        <v>12</v>
      </c>
    </row>
    <row r="66" spans="1:8" x14ac:dyDescent="0.3">
      <c r="A66" s="2">
        <v>46129</v>
      </c>
      <c r="B66" s="1" t="s">
        <v>25</v>
      </c>
      <c r="C66" s="1" t="s">
        <v>20</v>
      </c>
      <c r="D66" s="1" t="s">
        <v>9</v>
      </c>
      <c r="E66" s="1" t="s">
        <v>28</v>
      </c>
      <c r="F66" s="1" t="s">
        <v>685</v>
      </c>
      <c r="G66" s="5">
        <v>11756.38</v>
      </c>
      <c r="H66" s="3" t="s">
        <v>12</v>
      </c>
    </row>
    <row r="67" spans="1:8" x14ac:dyDescent="0.3">
      <c r="A67" s="2">
        <v>46129</v>
      </c>
      <c r="B67" s="1" t="s">
        <v>29</v>
      </c>
      <c r="C67" s="1" t="s">
        <v>102</v>
      </c>
      <c r="D67" s="1" t="s">
        <v>23</v>
      </c>
      <c r="E67" s="1" t="s">
        <v>10</v>
      </c>
      <c r="F67" s="1" t="s">
        <v>686</v>
      </c>
      <c r="G67" s="5">
        <v>662.5</v>
      </c>
      <c r="H67" s="3" t="s">
        <v>12</v>
      </c>
    </row>
    <row r="68" spans="1:8" x14ac:dyDescent="0.3">
      <c r="A68" s="2">
        <v>46129</v>
      </c>
      <c r="B68" s="1" t="s">
        <v>55</v>
      </c>
      <c r="C68" s="1" t="s">
        <v>20</v>
      </c>
      <c r="D68" s="1" t="s">
        <v>9</v>
      </c>
      <c r="E68" s="1" t="s">
        <v>10</v>
      </c>
      <c r="F68" s="1" t="s">
        <v>687</v>
      </c>
      <c r="G68" s="5">
        <v>2030</v>
      </c>
      <c r="H68" s="3" t="s">
        <v>12</v>
      </c>
    </row>
    <row r="69" spans="1:8" x14ac:dyDescent="0.3">
      <c r="A69" s="2">
        <v>46129</v>
      </c>
      <c r="B69" s="1" t="s">
        <v>453</v>
      </c>
      <c r="C69" s="1" t="s">
        <v>20</v>
      </c>
      <c r="D69" s="1" t="s">
        <v>9</v>
      </c>
      <c r="E69" s="1" t="s">
        <v>10</v>
      </c>
      <c r="F69" s="1" t="s">
        <v>688</v>
      </c>
      <c r="G69" s="5">
        <v>23856.5</v>
      </c>
      <c r="H69" s="3" t="s">
        <v>12</v>
      </c>
    </row>
    <row r="70" spans="1:8" x14ac:dyDescent="0.3">
      <c r="A70" s="2">
        <v>46128</v>
      </c>
      <c r="B70" s="1" t="s">
        <v>55</v>
      </c>
      <c r="C70" s="1" t="s">
        <v>20</v>
      </c>
      <c r="D70" s="1" t="s">
        <v>9</v>
      </c>
      <c r="E70" s="1" t="s">
        <v>10</v>
      </c>
      <c r="F70" s="1" t="s">
        <v>689</v>
      </c>
      <c r="G70" s="5">
        <v>4524</v>
      </c>
      <c r="H70" s="3" t="s">
        <v>12</v>
      </c>
    </row>
    <row r="71" spans="1:8" x14ac:dyDescent="0.3">
      <c r="A71" s="2">
        <v>46128</v>
      </c>
      <c r="B71" s="1" t="s">
        <v>79</v>
      </c>
      <c r="C71" s="1" t="s">
        <v>8</v>
      </c>
      <c r="D71" s="1" t="s">
        <v>9</v>
      </c>
      <c r="E71" s="1" t="s">
        <v>10</v>
      </c>
      <c r="F71" s="1" t="s">
        <v>690</v>
      </c>
      <c r="G71" s="5">
        <v>182.1</v>
      </c>
      <c r="H71" s="3" t="s">
        <v>12</v>
      </c>
    </row>
    <row r="72" spans="1:8" x14ac:dyDescent="0.3">
      <c r="A72" s="2">
        <v>46128</v>
      </c>
      <c r="B72" s="1" t="s">
        <v>89</v>
      </c>
      <c r="C72" s="1" t="s">
        <v>262</v>
      </c>
      <c r="D72" s="1" t="s">
        <v>9</v>
      </c>
      <c r="E72" s="1" t="s">
        <v>10</v>
      </c>
      <c r="F72" s="1" t="s">
        <v>691</v>
      </c>
      <c r="G72" s="5">
        <v>3854</v>
      </c>
      <c r="H72" s="3" t="s">
        <v>12</v>
      </c>
    </row>
    <row r="73" spans="1:8" x14ac:dyDescent="0.3">
      <c r="A73" s="2">
        <v>46128</v>
      </c>
      <c r="B73" s="1" t="s">
        <v>34</v>
      </c>
      <c r="C73" s="1" t="s">
        <v>8</v>
      </c>
      <c r="D73" s="1" t="s">
        <v>9</v>
      </c>
      <c r="E73" s="1" t="s">
        <v>10</v>
      </c>
      <c r="F73" s="1" t="s">
        <v>692</v>
      </c>
      <c r="G73" s="5">
        <v>800</v>
      </c>
      <c r="H73" s="3" t="s">
        <v>12</v>
      </c>
    </row>
    <row r="74" spans="1:8" x14ac:dyDescent="0.3">
      <c r="A74" s="2">
        <v>46127</v>
      </c>
      <c r="B74" s="1" t="s">
        <v>55</v>
      </c>
      <c r="C74" s="1" t="s">
        <v>8</v>
      </c>
      <c r="D74" s="1" t="s">
        <v>23</v>
      </c>
      <c r="E74" s="1" t="s">
        <v>10</v>
      </c>
      <c r="F74" s="1" t="s">
        <v>693</v>
      </c>
      <c r="G74" s="5">
        <v>1450</v>
      </c>
      <c r="H74" s="3" t="s">
        <v>12</v>
      </c>
    </row>
    <row r="75" spans="1:8" x14ac:dyDescent="0.3">
      <c r="A75" s="2">
        <v>46127</v>
      </c>
      <c r="B75" s="1" t="s">
        <v>34</v>
      </c>
      <c r="C75" s="1" t="s">
        <v>8</v>
      </c>
      <c r="D75" s="1" t="s">
        <v>9</v>
      </c>
      <c r="E75" s="1" t="s">
        <v>10</v>
      </c>
      <c r="F75" s="1" t="s">
        <v>694</v>
      </c>
      <c r="G75" s="5">
        <v>900.18</v>
      </c>
      <c r="H75" s="3" t="s">
        <v>12</v>
      </c>
    </row>
    <row r="76" spans="1:8" x14ac:dyDescent="0.3">
      <c r="A76" s="2">
        <v>46126</v>
      </c>
      <c r="B76" s="1" t="s">
        <v>79</v>
      </c>
      <c r="C76" s="1" t="s">
        <v>30</v>
      </c>
      <c r="D76" s="1" t="s">
        <v>9</v>
      </c>
      <c r="E76" s="1" t="s">
        <v>28</v>
      </c>
      <c r="F76" s="1" t="s">
        <v>695</v>
      </c>
      <c r="G76" s="5">
        <v>220</v>
      </c>
      <c r="H76" s="3" t="s">
        <v>12</v>
      </c>
    </row>
    <row r="77" spans="1:8" x14ac:dyDescent="0.3">
      <c r="A77" s="2">
        <v>46126</v>
      </c>
      <c r="B77" s="1" t="s">
        <v>34</v>
      </c>
      <c r="C77" s="1" t="s">
        <v>8</v>
      </c>
      <c r="D77" s="1" t="s">
        <v>9</v>
      </c>
      <c r="E77" s="1" t="s">
        <v>10</v>
      </c>
      <c r="F77" s="1" t="s">
        <v>696</v>
      </c>
      <c r="G77" s="5">
        <v>750.11</v>
      </c>
      <c r="H77" s="3" t="s">
        <v>12</v>
      </c>
    </row>
    <row r="78" spans="1:8" x14ac:dyDescent="0.3">
      <c r="A78" s="2">
        <v>46126</v>
      </c>
      <c r="B78" s="1" t="s">
        <v>34</v>
      </c>
      <c r="C78" s="1" t="s">
        <v>8</v>
      </c>
      <c r="D78" s="1" t="s">
        <v>9</v>
      </c>
      <c r="E78" s="1" t="s">
        <v>10</v>
      </c>
      <c r="F78" s="1" t="s">
        <v>697</v>
      </c>
      <c r="G78" s="5">
        <v>603.24</v>
      </c>
      <c r="H78" s="3" t="s">
        <v>12</v>
      </c>
    </row>
    <row r="79" spans="1:8" x14ac:dyDescent="0.3">
      <c r="A79" s="2">
        <v>46126</v>
      </c>
      <c r="B79" s="1" t="s">
        <v>370</v>
      </c>
      <c r="C79" s="1" t="s">
        <v>8</v>
      </c>
      <c r="D79" s="1" t="s">
        <v>9</v>
      </c>
      <c r="E79" s="1" t="s">
        <v>10</v>
      </c>
      <c r="F79" s="1" t="s">
        <v>698</v>
      </c>
      <c r="G79" s="5">
        <v>15779</v>
      </c>
      <c r="H79" s="3" t="s">
        <v>12</v>
      </c>
    </row>
    <row r="80" spans="1:8" x14ac:dyDescent="0.3">
      <c r="A80" s="2">
        <v>46126</v>
      </c>
      <c r="B80" s="1" t="s">
        <v>55</v>
      </c>
      <c r="C80" s="1" t="s">
        <v>8</v>
      </c>
      <c r="D80" s="1" t="s">
        <v>9</v>
      </c>
      <c r="E80" s="1" t="s">
        <v>10</v>
      </c>
      <c r="F80" s="1" t="s">
        <v>699</v>
      </c>
      <c r="G80" s="5">
        <v>919.21</v>
      </c>
      <c r="H80" s="3" t="s">
        <v>12</v>
      </c>
    </row>
    <row r="81" spans="1:8" x14ac:dyDescent="0.3">
      <c r="A81" s="2">
        <v>46126</v>
      </c>
      <c r="B81" s="1" t="s">
        <v>55</v>
      </c>
      <c r="C81" s="1" t="s">
        <v>8</v>
      </c>
      <c r="D81" s="1" t="s">
        <v>9</v>
      </c>
      <c r="E81" s="1" t="s">
        <v>10</v>
      </c>
      <c r="F81" s="1" t="s">
        <v>700</v>
      </c>
      <c r="G81" s="5">
        <v>60</v>
      </c>
      <c r="H81" s="3" t="s">
        <v>12</v>
      </c>
    </row>
    <row r="82" spans="1:8" x14ac:dyDescent="0.3">
      <c r="A82" s="2">
        <v>46126</v>
      </c>
      <c r="B82" s="1" t="s">
        <v>50</v>
      </c>
      <c r="C82" s="1" t="s">
        <v>8</v>
      </c>
      <c r="D82" s="1" t="s">
        <v>9</v>
      </c>
      <c r="E82" s="1" t="s">
        <v>10</v>
      </c>
      <c r="F82" s="1" t="s">
        <v>701</v>
      </c>
      <c r="G82" s="5">
        <v>314</v>
      </c>
      <c r="H82" s="3" t="s">
        <v>12</v>
      </c>
    </row>
    <row r="83" spans="1:8" x14ac:dyDescent="0.3">
      <c r="A83" s="2">
        <v>46126</v>
      </c>
      <c r="B83" s="1" t="s">
        <v>34</v>
      </c>
      <c r="C83" s="1" t="s">
        <v>102</v>
      </c>
      <c r="D83" s="1" t="s">
        <v>9</v>
      </c>
      <c r="E83" s="1" t="s">
        <v>10</v>
      </c>
      <c r="F83" s="1" t="s">
        <v>702</v>
      </c>
      <c r="G83" s="5">
        <v>1659.43</v>
      </c>
      <c r="H83" s="3" t="s">
        <v>12</v>
      </c>
    </row>
    <row r="84" spans="1:8" x14ac:dyDescent="0.3">
      <c r="A84" s="2">
        <v>46126</v>
      </c>
      <c r="B84" s="1" t="s">
        <v>45</v>
      </c>
      <c r="C84" s="1" t="s">
        <v>20</v>
      </c>
      <c r="D84" s="1" t="s">
        <v>9</v>
      </c>
      <c r="E84" s="1" t="s">
        <v>10</v>
      </c>
      <c r="F84" s="1" t="s">
        <v>703</v>
      </c>
      <c r="G84" s="5">
        <v>7712.33</v>
      </c>
      <c r="H84" s="3" t="s">
        <v>12</v>
      </c>
    </row>
    <row r="85" spans="1:8" x14ac:dyDescent="0.3">
      <c r="A85" s="2">
        <v>46126</v>
      </c>
      <c r="B85" s="1" t="s">
        <v>55</v>
      </c>
      <c r="C85" s="1" t="s">
        <v>8</v>
      </c>
      <c r="D85" s="1" t="s">
        <v>9</v>
      </c>
      <c r="E85" s="1" t="s">
        <v>10</v>
      </c>
      <c r="F85" s="1" t="s">
        <v>704</v>
      </c>
      <c r="G85" s="5">
        <v>40</v>
      </c>
      <c r="H85" s="3" t="s">
        <v>12</v>
      </c>
    </row>
    <row r="86" spans="1:8" x14ac:dyDescent="0.3">
      <c r="A86" s="2">
        <v>46126</v>
      </c>
      <c r="B86" s="1" t="s">
        <v>34</v>
      </c>
      <c r="C86" s="1" t="s">
        <v>8</v>
      </c>
      <c r="D86" s="1" t="s">
        <v>9</v>
      </c>
      <c r="E86" s="1" t="s">
        <v>10</v>
      </c>
      <c r="F86" s="1" t="s">
        <v>705</v>
      </c>
      <c r="G86" s="5">
        <v>487.94</v>
      </c>
      <c r="H86" s="3" t="s">
        <v>12</v>
      </c>
    </row>
    <row r="87" spans="1:8" x14ac:dyDescent="0.3">
      <c r="A87" s="2">
        <v>46126</v>
      </c>
      <c r="B87" s="1" t="s">
        <v>55</v>
      </c>
      <c r="C87" s="1" t="s">
        <v>30</v>
      </c>
      <c r="D87" s="1" t="s">
        <v>9</v>
      </c>
      <c r="E87" s="1" t="s">
        <v>28</v>
      </c>
      <c r="F87" s="1" t="s">
        <v>706</v>
      </c>
      <c r="G87" s="5">
        <v>5100</v>
      </c>
      <c r="H87" s="3" t="s">
        <v>12</v>
      </c>
    </row>
    <row r="88" spans="1:8" x14ac:dyDescent="0.3">
      <c r="A88" s="2">
        <v>46125</v>
      </c>
      <c r="B88" s="1" t="s">
        <v>34</v>
      </c>
      <c r="C88" s="1" t="s">
        <v>8</v>
      </c>
      <c r="D88" s="1" t="s">
        <v>9</v>
      </c>
      <c r="E88" s="1" t="s">
        <v>10</v>
      </c>
      <c r="F88" s="1" t="s">
        <v>707</v>
      </c>
      <c r="G88" s="5">
        <v>1308.28</v>
      </c>
      <c r="H88" s="3" t="s">
        <v>12</v>
      </c>
    </row>
    <row r="89" spans="1:8" x14ac:dyDescent="0.3">
      <c r="A89" s="2">
        <v>46125</v>
      </c>
      <c r="B89" s="1" t="s">
        <v>163</v>
      </c>
      <c r="C89" s="1" t="s">
        <v>8</v>
      </c>
      <c r="D89" s="1" t="s">
        <v>9</v>
      </c>
      <c r="E89" s="1" t="s">
        <v>10</v>
      </c>
      <c r="F89" s="1" t="s">
        <v>708</v>
      </c>
      <c r="G89" s="5">
        <v>2207</v>
      </c>
      <c r="H89" s="3" t="s">
        <v>12</v>
      </c>
    </row>
    <row r="90" spans="1:8" x14ac:dyDescent="0.3">
      <c r="A90" s="2">
        <v>46125</v>
      </c>
      <c r="B90" s="1" t="s">
        <v>34</v>
      </c>
      <c r="C90" s="1" t="s">
        <v>8</v>
      </c>
      <c r="D90" s="1" t="s">
        <v>9</v>
      </c>
      <c r="E90" s="1" t="s">
        <v>10</v>
      </c>
      <c r="F90" s="1" t="s">
        <v>709</v>
      </c>
      <c r="G90" s="5">
        <v>1778.23</v>
      </c>
      <c r="H90" s="3" t="s">
        <v>12</v>
      </c>
    </row>
    <row r="91" spans="1:8" x14ac:dyDescent="0.3">
      <c r="A91" s="2">
        <v>46125</v>
      </c>
      <c r="B91" s="1" t="s">
        <v>55</v>
      </c>
      <c r="C91" s="1" t="s">
        <v>8</v>
      </c>
      <c r="D91" s="1" t="s">
        <v>9</v>
      </c>
      <c r="E91" s="1" t="s">
        <v>10</v>
      </c>
      <c r="F91" s="1" t="s">
        <v>710</v>
      </c>
      <c r="G91" s="5">
        <v>2126</v>
      </c>
      <c r="H91" s="3" t="s">
        <v>12</v>
      </c>
    </row>
    <row r="92" spans="1:8" x14ac:dyDescent="0.3">
      <c r="A92" s="2">
        <v>46125</v>
      </c>
      <c r="B92" s="1" t="s">
        <v>34</v>
      </c>
      <c r="C92" s="1" t="s">
        <v>8</v>
      </c>
      <c r="D92" s="1" t="s">
        <v>9</v>
      </c>
      <c r="E92" s="1" t="s">
        <v>10</v>
      </c>
      <c r="F92" s="1" t="s">
        <v>711</v>
      </c>
      <c r="G92" s="5">
        <v>925.04</v>
      </c>
      <c r="H92" s="3" t="s">
        <v>12</v>
      </c>
    </row>
    <row r="93" spans="1:8" x14ac:dyDescent="0.3">
      <c r="A93" s="2">
        <v>46125</v>
      </c>
      <c r="B93" s="1" t="s">
        <v>45</v>
      </c>
      <c r="C93" s="1" t="s">
        <v>8</v>
      </c>
      <c r="D93" s="1" t="s">
        <v>9</v>
      </c>
      <c r="E93" s="1" t="s">
        <v>10</v>
      </c>
      <c r="F93" s="1" t="s">
        <v>712</v>
      </c>
      <c r="G93" s="5">
        <v>119</v>
      </c>
      <c r="H93" s="3" t="s">
        <v>12</v>
      </c>
    </row>
    <row r="94" spans="1:8" x14ac:dyDescent="0.3">
      <c r="A94" s="2">
        <v>46125</v>
      </c>
      <c r="B94" s="1" t="s">
        <v>55</v>
      </c>
      <c r="C94" s="1" t="s">
        <v>8</v>
      </c>
      <c r="D94" s="1" t="s">
        <v>9</v>
      </c>
      <c r="E94" s="1" t="s">
        <v>28</v>
      </c>
      <c r="F94" s="1" t="s">
        <v>713</v>
      </c>
      <c r="G94" s="5">
        <v>315.29000000000002</v>
      </c>
      <c r="H94" s="3" t="s">
        <v>12</v>
      </c>
    </row>
    <row r="95" spans="1:8" x14ac:dyDescent="0.3">
      <c r="A95" s="2">
        <v>46125</v>
      </c>
      <c r="B95" s="1" t="s">
        <v>169</v>
      </c>
      <c r="C95" s="1" t="s">
        <v>20</v>
      </c>
      <c r="D95" s="1" t="s">
        <v>9</v>
      </c>
      <c r="E95" s="1" t="s">
        <v>10</v>
      </c>
      <c r="F95" s="1" t="s">
        <v>714</v>
      </c>
      <c r="G95" s="5">
        <v>2521.84</v>
      </c>
      <c r="H95" s="3" t="s">
        <v>12</v>
      </c>
    </row>
    <row r="96" spans="1:8" x14ac:dyDescent="0.3">
      <c r="A96" s="2">
        <v>46125</v>
      </c>
      <c r="B96" s="1" t="s">
        <v>50</v>
      </c>
      <c r="C96" s="1" t="s">
        <v>30</v>
      </c>
      <c r="D96" s="1" t="s">
        <v>9</v>
      </c>
      <c r="E96" s="1" t="s">
        <v>28</v>
      </c>
      <c r="F96" s="1" t="s">
        <v>715</v>
      </c>
      <c r="G96" s="5">
        <v>491</v>
      </c>
      <c r="H96" s="3" t="s">
        <v>12</v>
      </c>
    </row>
    <row r="97" spans="1:8" x14ac:dyDescent="0.3">
      <c r="A97" s="2">
        <v>46124</v>
      </c>
      <c r="B97" s="1" t="s">
        <v>13</v>
      </c>
      <c r="C97" s="1" t="s">
        <v>8</v>
      </c>
      <c r="D97" s="1" t="s">
        <v>9</v>
      </c>
      <c r="E97" s="1" t="s">
        <v>10</v>
      </c>
      <c r="F97" s="1" t="s">
        <v>716</v>
      </c>
      <c r="G97" s="5">
        <v>320</v>
      </c>
      <c r="H97" s="3" t="s">
        <v>12</v>
      </c>
    </row>
    <row r="98" spans="1:8" x14ac:dyDescent="0.3">
      <c r="A98" s="2">
        <v>46122</v>
      </c>
      <c r="B98" s="1" t="s">
        <v>154</v>
      </c>
      <c r="C98" s="1" t="s">
        <v>20</v>
      </c>
      <c r="D98" s="1" t="s">
        <v>9</v>
      </c>
      <c r="E98" s="1" t="s">
        <v>10</v>
      </c>
      <c r="F98" s="1" t="s">
        <v>717</v>
      </c>
      <c r="G98" s="5">
        <v>16028.4</v>
      </c>
      <c r="H98" s="3" t="s">
        <v>12</v>
      </c>
    </row>
    <row r="99" spans="1:8" x14ac:dyDescent="0.3">
      <c r="A99" s="2">
        <v>46122</v>
      </c>
      <c r="B99" s="1" t="s">
        <v>226</v>
      </c>
      <c r="C99" s="1" t="s">
        <v>20</v>
      </c>
      <c r="D99" s="1" t="s">
        <v>9</v>
      </c>
      <c r="E99" s="1" t="s">
        <v>10</v>
      </c>
      <c r="F99" s="1" t="s">
        <v>718</v>
      </c>
      <c r="G99" s="5">
        <v>21436.34</v>
      </c>
      <c r="H99" s="3" t="s">
        <v>12</v>
      </c>
    </row>
    <row r="100" spans="1:8" x14ac:dyDescent="0.3">
      <c r="A100" s="2">
        <v>46122</v>
      </c>
      <c r="B100" s="1" t="s">
        <v>55</v>
      </c>
      <c r="C100" s="1" t="s">
        <v>20</v>
      </c>
      <c r="D100" s="1" t="s">
        <v>9</v>
      </c>
      <c r="E100" s="1" t="s">
        <v>10</v>
      </c>
      <c r="F100" s="1" t="s">
        <v>719</v>
      </c>
      <c r="G100" s="5">
        <v>1200.01</v>
      </c>
      <c r="H100" s="3" t="s">
        <v>12</v>
      </c>
    </row>
    <row r="101" spans="1:8" x14ac:dyDescent="0.3">
      <c r="A101" s="2">
        <v>46122</v>
      </c>
      <c r="B101" s="1" t="s">
        <v>17</v>
      </c>
      <c r="C101" s="1" t="s">
        <v>8</v>
      </c>
      <c r="D101" s="1" t="s">
        <v>9</v>
      </c>
      <c r="E101" s="1" t="s">
        <v>10</v>
      </c>
      <c r="F101" s="1" t="s">
        <v>720</v>
      </c>
      <c r="G101" s="5">
        <v>327.76</v>
      </c>
      <c r="H101" s="3" t="s">
        <v>12</v>
      </c>
    </row>
    <row r="102" spans="1:8" x14ac:dyDescent="0.3">
      <c r="A102" s="2">
        <v>46122</v>
      </c>
      <c r="B102" s="1" t="s">
        <v>226</v>
      </c>
      <c r="C102" s="1" t="s">
        <v>8</v>
      </c>
      <c r="D102" s="1" t="s">
        <v>9</v>
      </c>
      <c r="E102" s="1" t="s">
        <v>10</v>
      </c>
      <c r="F102" s="1" t="s">
        <v>721</v>
      </c>
      <c r="G102" s="5">
        <v>28822.79</v>
      </c>
      <c r="H102" s="3" t="s">
        <v>12</v>
      </c>
    </row>
    <row r="103" spans="1:8" x14ac:dyDescent="0.3">
      <c r="A103" s="2">
        <v>46122</v>
      </c>
      <c r="B103" s="1" t="s">
        <v>25</v>
      </c>
      <c r="C103" s="1" t="s">
        <v>20</v>
      </c>
      <c r="D103" s="1" t="s">
        <v>9</v>
      </c>
      <c r="E103" s="1" t="s">
        <v>26</v>
      </c>
      <c r="F103" s="1" t="s">
        <v>722</v>
      </c>
      <c r="G103" s="5">
        <v>162104.22</v>
      </c>
      <c r="H103" s="3" t="s">
        <v>12</v>
      </c>
    </row>
    <row r="104" spans="1:8" x14ac:dyDescent="0.3">
      <c r="A104" s="2">
        <v>46122</v>
      </c>
      <c r="B104" s="1" t="s">
        <v>25</v>
      </c>
      <c r="C104" s="1" t="s">
        <v>20</v>
      </c>
      <c r="D104" s="1" t="s">
        <v>9</v>
      </c>
      <c r="E104" s="1" t="s">
        <v>28</v>
      </c>
      <c r="F104" s="1" t="s">
        <v>722</v>
      </c>
      <c r="G104" s="5">
        <v>7893.98</v>
      </c>
      <c r="H104" s="3" t="s">
        <v>12</v>
      </c>
    </row>
    <row r="105" spans="1:8" x14ac:dyDescent="0.3">
      <c r="A105" s="2">
        <v>46122</v>
      </c>
      <c r="B105" s="1" t="s">
        <v>70</v>
      </c>
      <c r="C105" s="1" t="s">
        <v>20</v>
      </c>
      <c r="D105" s="1" t="s">
        <v>9</v>
      </c>
      <c r="E105" s="1" t="s">
        <v>71</v>
      </c>
      <c r="F105" s="1" t="s">
        <v>723</v>
      </c>
      <c r="G105" s="5">
        <v>42724.32</v>
      </c>
      <c r="H105" s="3" t="s">
        <v>12</v>
      </c>
    </row>
    <row r="106" spans="1:8" x14ac:dyDescent="0.3">
      <c r="A106" s="2">
        <v>46122</v>
      </c>
      <c r="B106" s="1" t="s">
        <v>55</v>
      </c>
      <c r="C106" s="1" t="s">
        <v>102</v>
      </c>
      <c r="D106" s="1" t="s">
        <v>9</v>
      </c>
      <c r="E106" s="1" t="s">
        <v>10</v>
      </c>
      <c r="F106" s="1" t="s">
        <v>724</v>
      </c>
      <c r="G106" s="5">
        <v>599</v>
      </c>
      <c r="H106" s="3" t="s">
        <v>12</v>
      </c>
    </row>
    <row r="107" spans="1:8" x14ac:dyDescent="0.3">
      <c r="A107" s="2">
        <v>46122</v>
      </c>
      <c r="B107" s="1" t="s">
        <v>79</v>
      </c>
      <c r="C107" s="1" t="s">
        <v>8</v>
      </c>
      <c r="D107" s="1" t="s">
        <v>9</v>
      </c>
      <c r="E107" s="1" t="s">
        <v>10</v>
      </c>
      <c r="F107" s="1" t="s">
        <v>725</v>
      </c>
      <c r="G107" s="5">
        <v>650</v>
      </c>
      <c r="H107" s="3" t="s">
        <v>12</v>
      </c>
    </row>
    <row r="108" spans="1:8" x14ac:dyDescent="0.3">
      <c r="A108" s="2">
        <v>46121</v>
      </c>
      <c r="B108" s="1" t="s">
        <v>34</v>
      </c>
      <c r="C108" s="1" t="s">
        <v>8</v>
      </c>
      <c r="D108" s="1" t="s">
        <v>9</v>
      </c>
      <c r="E108" s="1" t="s">
        <v>10</v>
      </c>
      <c r="F108" s="1" t="s">
        <v>726</v>
      </c>
      <c r="G108" s="5">
        <v>2372.7800000000002</v>
      </c>
      <c r="H108" s="3" t="s">
        <v>12</v>
      </c>
    </row>
    <row r="109" spans="1:8" x14ac:dyDescent="0.3">
      <c r="A109" s="2">
        <v>46121</v>
      </c>
      <c r="B109" s="1" t="s">
        <v>34</v>
      </c>
      <c r="C109" s="1" t="s">
        <v>8</v>
      </c>
      <c r="D109" s="1" t="s">
        <v>9</v>
      </c>
      <c r="E109" s="1" t="s">
        <v>10</v>
      </c>
      <c r="F109" s="1" t="s">
        <v>727</v>
      </c>
      <c r="G109" s="5">
        <v>1100.1199999999999</v>
      </c>
      <c r="H109" s="3" t="s">
        <v>12</v>
      </c>
    </row>
    <row r="110" spans="1:8" x14ac:dyDescent="0.3">
      <c r="A110" s="2">
        <v>46121</v>
      </c>
      <c r="B110" s="1" t="s">
        <v>55</v>
      </c>
      <c r="C110" s="1" t="s">
        <v>8</v>
      </c>
      <c r="D110" s="1" t="s">
        <v>9</v>
      </c>
      <c r="E110" s="1" t="s">
        <v>10</v>
      </c>
      <c r="F110" s="1" t="s">
        <v>728</v>
      </c>
      <c r="G110" s="5">
        <v>1915.04</v>
      </c>
      <c r="H110" s="3" t="s">
        <v>12</v>
      </c>
    </row>
    <row r="111" spans="1:8" x14ac:dyDescent="0.3">
      <c r="A111" s="2">
        <v>46121</v>
      </c>
      <c r="B111" s="1" t="s">
        <v>226</v>
      </c>
      <c r="C111" s="1" t="s">
        <v>8</v>
      </c>
      <c r="D111" s="1" t="s">
        <v>9</v>
      </c>
      <c r="E111" s="1" t="s">
        <v>10</v>
      </c>
      <c r="F111" s="1" t="s">
        <v>729</v>
      </c>
      <c r="G111" s="5">
        <v>24992.63</v>
      </c>
      <c r="H111" s="3" t="s">
        <v>12</v>
      </c>
    </row>
    <row r="112" spans="1:8" x14ac:dyDescent="0.3">
      <c r="A112" s="2">
        <v>46120</v>
      </c>
      <c r="B112" s="1" t="s">
        <v>218</v>
      </c>
      <c r="C112" s="1" t="s">
        <v>30</v>
      </c>
      <c r="D112" s="1" t="s">
        <v>9</v>
      </c>
      <c r="E112" s="1" t="s">
        <v>10</v>
      </c>
      <c r="F112" s="1" t="s">
        <v>730</v>
      </c>
      <c r="G112" s="5">
        <v>27</v>
      </c>
      <c r="H112" s="3" t="s">
        <v>12</v>
      </c>
    </row>
    <row r="113" spans="1:8" x14ac:dyDescent="0.3">
      <c r="A113" s="2">
        <v>46120</v>
      </c>
      <c r="B113" s="1" t="s">
        <v>34</v>
      </c>
      <c r="C113" s="1" t="s">
        <v>8</v>
      </c>
      <c r="D113" s="1" t="s">
        <v>9</v>
      </c>
      <c r="E113" s="1" t="s">
        <v>10</v>
      </c>
      <c r="F113" s="1" t="s">
        <v>731</v>
      </c>
      <c r="G113" s="5">
        <v>1000</v>
      </c>
      <c r="H113" s="3" t="s">
        <v>12</v>
      </c>
    </row>
    <row r="114" spans="1:8" x14ac:dyDescent="0.3">
      <c r="A114" s="2">
        <v>46120</v>
      </c>
      <c r="B114" s="1" t="s">
        <v>45</v>
      </c>
      <c r="C114" s="1" t="s">
        <v>262</v>
      </c>
      <c r="D114" s="1" t="s">
        <v>9</v>
      </c>
      <c r="E114" s="1" t="s">
        <v>10</v>
      </c>
      <c r="F114" s="1" t="s">
        <v>236</v>
      </c>
      <c r="G114" s="5">
        <v>4833.2700000000004</v>
      </c>
      <c r="H114" s="3" t="s">
        <v>12</v>
      </c>
    </row>
    <row r="115" spans="1:8" x14ac:dyDescent="0.3">
      <c r="A115" s="2">
        <v>46120</v>
      </c>
      <c r="B115" s="1" t="s">
        <v>7</v>
      </c>
      <c r="C115" s="1" t="s">
        <v>8</v>
      </c>
      <c r="D115" s="1" t="s">
        <v>9</v>
      </c>
      <c r="E115" s="1" t="s">
        <v>10</v>
      </c>
      <c r="F115" s="1" t="s">
        <v>732</v>
      </c>
      <c r="G115" s="5">
        <v>103.5</v>
      </c>
      <c r="H115" s="3" t="s">
        <v>12</v>
      </c>
    </row>
    <row r="116" spans="1:8" x14ac:dyDescent="0.3">
      <c r="A116" s="2">
        <v>46120</v>
      </c>
      <c r="B116" s="1" t="s">
        <v>34</v>
      </c>
      <c r="C116" s="1" t="s">
        <v>8</v>
      </c>
      <c r="D116" s="1" t="s">
        <v>9</v>
      </c>
      <c r="E116" s="1" t="s">
        <v>10</v>
      </c>
      <c r="F116" s="1" t="s">
        <v>733</v>
      </c>
      <c r="G116" s="5">
        <v>1140.32</v>
      </c>
      <c r="H116" s="3" t="s">
        <v>12</v>
      </c>
    </row>
    <row r="117" spans="1:8" x14ac:dyDescent="0.3">
      <c r="A117" s="2">
        <v>46120</v>
      </c>
      <c r="B117" s="1" t="s">
        <v>15</v>
      </c>
      <c r="C117" s="1" t="s">
        <v>8</v>
      </c>
      <c r="D117" s="1" t="s">
        <v>9</v>
      </c>
      <c r="E117" s="1" t="s">
        <v>10</v>
      </c>
      <c r="F117" s="1" t="s">
        <v>734</v>
      </c>
      <c r="G117" s="5">
        <v>859.26</v>
      </c>
      <c r="H117" s="3" t="s">
        <v>12</v>
      </c>
    </row>
    <row r="118" spans="1:8" x14ac:dyDescent="0.3">
      <c r="A118" s="2">
        <v>46120</v>
      </c>
      <c r="B118" s="1" t="s">
        <v>19</v>
      </c>
      <c r="C118" s="1" t="s">
        <v>8</v>
      </c>
      <c r="D118" s="1" t="s">
        <v>9</v>
      </c>
      <c r="E118" s="1" t="s">
        <v>10</v>
      </c>
      <c r="F118" s="1" t="s">
        <v>735</v>
      </c>
      <c r="G118" s="5">
        <v>5071.2299999999996</v>
      </c>
      <c r="H118" s="3" t="s">
        <v>12</v>
      </c>
    </row>
    <row r="119" spans="1:8" x14ac:dyDescent="0.3">
      <c r="A119" s="2">
        <v>46119</v>
      </c>
      <c r="B119" s="1" t="s">
        <v>218</v>
      </c>
      <c r="C119" s="1" t="s">
        <v>30</v>
      </c>
      <c r="D119" s="1" t="s">
        <v>9</v>
      </c>
      <c r="E119" s="1" t="s">
        <v>10</v>
      </c>
      <c r="F119" s="1" t="s">
        <v>736</v>
      </c>
      <c r="G119" s="5">
        <v>41.5</v>
      </c>
      <c r="H119" s="3" t="s">
        <v>12</v>
      </c>
    </row>
    <row r="120" spans="1:8" x14ac:dyDescent="0.3">
      <c r="A120" s="2">
        <v>46119</v>
      </c>
      <c r="B120" s="1" t="s">
        <v>34</v>
      </c>
      <c r="C120" s="1" t="s">
        <v>102</v>
      </c>
      <c r="D120" s="1" t="s">
        <v>9</v>
      </c>
      <c r="E120" s="1" t="s">
        <v>10</v>
      </c>
      <c r="F120" s="1" t="s">
        <v>737</v>
      </c>
      <c r="G120" s="5">
        <v>1736.39</v>
      </c>
      <c r="H120" s="3" t="s">
        <v>12</v>
      </c>
    </row>
    <row r="121" spans="1:8" x14ac:dyDescent="0.3">
      <c r="A121" s="2">
        <v>46119</v>
      </c>
      <c r="B121" s="1" t="s">
        <v>34</v>
      </c>
      <c r="C121" s="1" t="s">
        <v>8</v>
      </c>
      <c r="D121" s="1" t="s">
        <v>9</v>
      </c>
      <c r="E121" s="1" t="s">
        <v>10</v>
      </c>
      <c r="F121" s="1" t="s">
        <v>738</v>
      </c>
      <c r="G121" s="5">
        <v>2417.2399999999998</v>
      </c>
      <c r="H121" s="3" t="s">
        <v>12</v>
      </c>
    </row>
    <row r="122" spans="1:8" x14ac:dyDescent="0.3">
      <c r="A122" s="2">
        <v>46119</v>
      </c>
      <c r="B122" s="1" t="s">
        <v>34</v>
      </c>
      <c r="C122" s="1" t="s">
        <v>8</v>
      </c>
      <c r="D122" s="1" t="s">
        <v>9</v>
      </c>
      <c r="E122" s="1" t="s">
        <v>10</v>
      </c>
      <c r="F122" s="1" t="s">
        <v>739</v>
      </c>
      <c r="G122" s="5">
        <v>1100.04</v>
      </c>
      <c r="H122" s="3" t="s">
        <v>12</v>
      </c>
    </row>
    <row r="123" spans="1:8" x14ac:dyDescent="0.3">
      <c r="A123" s="2">
        <v>46119</v>
      </c>
      <c r="B123" s="1" t="s">
        <v>34</v>
      </c>
      <c r="C123" s="1" t="s">
        <v>8</v>
      </c>
      <c r="D123" s="1" t="s">
        <v>9</v>
      </c>
      <c r="E123" s="1" t="s">
        <v>10</v>
      </c>
      <c r="F123" s="1" t="s">
        <v>740</v>
      </c>
      <c r="G123" s="5">
        <v>1230.08</v>
      </c>
      <c r="H123" s="3" t="s">
        <v>12</v>
      </c>
    </row>
    <row r="124" spans="1:8" x14ac:dyDescent="0.3">
      <c r="A124" s="2">
        <v>46119</v>
      </c>
      <c r="B124" s="1" t="s">
        <v>55</v>
      </c>
      <c r="C124" s="1" t="s">
        <v>8</v>
      </c>
      <c r="D124" s="1" t="s">
        <v>9</v>
      </c>
      <c r="E124" s="1" t="s">
        <v>10</v>
      </c>
      <c r="F124" s="1" t="s">
        <v>741</v>
      </c>
      <c r="G124" s="5">
        <v>325</v>
      </c>
      <c r="H124" s="3" t="s">
        <v>12</v>
      </c>
    </row>
    <row r="125" spans="1:8" x14ac:dyDescent="0.3">
      <c r="A125" s="2">
        <v>46119</v>
      </c>
      <c r="B125" s="1" t="s">
        <v>55</v>
      </c>
      <c r="C125" s="1" t="s">
        <v>8</v>
      </c>
      <c r="D125" s="1" t="s">
        <v>9</v>
      </c>
      <c r="E125" s="1" t="s">
        <v>10</v>
      </c>
      <c r="F125" s="1" t="s">
        <v>742</v>
      </c>
      <c r="G125" s="5">
        <v>195</v>
      </c>
      <c r="H125" s="3" t="s">
        <v>12</v>
      </c>
    </row>
    <row r="126" spans="1:8" x14ac:dyDescent="0.3">
      <c r="A126" s="2">
        <v>46119</v>
      </c>
      <c r="B126" s="1" t="s">
        <v>19</v>
      </c>
      <c r="C126" s="1" t="s">
        <v>8</v>
      </c>
      <c r="D126" s="1" t="s">
        <v>9</v>
      </c>
      <c r="E126" s="1" t="s">
        <v>10</v>
      </c>
      <c r="F126" s="1" t="s">
        <v>743</v>
      </c>
      <c r="G126" s="5">
        <v>6502.52</v>
      </c>
      <c r="H126" s="3" t="s">
        <v>12</v>
      </c>
    </row>
    <row r="127" spans="1:8" x14ac:dyDescent="0.3">
      <c r="A127" s="2">
        <v>46119</v>
      </c>
      <c r="B127" s="1" t="s">
        <v>50</v>
      </c>
      <c r="C127" s="1" t="s">
        <v>8</v>
      </c>
      <c r="D127" s="1" t="s">
        <v>9</v>
      </c>
      <c r="E127" s="1" t="s">
        <v>10</v>
      </c>
      <c r="F127" s="1" t="s">
        <v>744</v>
      </c>
      <c r="G127" s="5">
        <v>176</v>
      </c>
      <c r="H127" s="3" t="s">
        <v>12</v>
      </c>
    </row>
    <row r="128" spans="1:8" x14ac:dyDescent="0.3">
      <c r="A128" s="2">
        <v>46119</v>
      </c>
      <c r="B128" s="1" t="s">
        <v>89</v>
      </c>
      <c r="C128" s="1" t="s">
        <v>8</v>
      </c>
      <c r="D128" s="1" t="s">
        <v>9</v>
      </c>
      <c r="E128" s="1" t="s">
        <v>10</v>
      </c>
      <c r="F128" s="1" t="s">
        <v>745</v>
      </c>
      <c r="G128" s="5">
        <v>1392</v>
      </c>
      <c r="H128" s="3" t="s">
        <v>12</v>
      </c>
    </row>
    <row r="129" spans="1:8" x14ac:dyDescent="0.3">
      <c r="A129" s="2">
        <v>46119</v>
      </c>
      <c r="B129" s="1" t="s">
        <v>15</v>
      </c>
      <c r="C129" s="1" t="s">
        <v>20</v>
      </c>
      <c r="D129" s="1" t="s">
        <v>9</v>
      </c>
      <c r="E129" s="1" t="s">
        <v>10</v>
      </c>
      <c r="F129" s="1" t="s">
        <v>746</v>
      </c>
      <c r="G129" s="5">
        <v>22111.81</v>
      </c>
      <c r="H129" s="3" t="s">
        <v>12</v>
      </c>
    </row>
    <row r="130" spans="1:8" x14ac:dyDescent="0.3">
      <c r="A130" s="2">
        <v>46119</v>
      </c>
      <c r="B130" s="1" t="s">
        <v>25</v>
      </c>
      <c r="C130" s="1" t="s">
        <v>43</v>
      </c>
      <c r="D130" s="1" t="s">
        <v>9</v>
      </c>
      <c r="E130" s="1" t="s">
        <v>26</v>
      </c>
      <c r="F130" s="1" t="s">
        <v>747</v>
      </c>
      <c r="G130" s="5">
        <v>50719.56</v>
      </c>
      <c r="H130" s="3" t="s">
        <v>12</v>
      </c>
    </row>
    <row r="131" spans="1:8" x14ac:dyDescent="0.3">
      <c r="A131" s="2">
        <v>46118</v>
      </c>
      <c r="B131" s="1" t="s">
        <v>34</v>
      </c>
      <c r="C131" s="1" t="s">
        <v>8</v>
      </c>
      <c r="D131" s="1" t="s">
        <v>9</v>
      </c>
      <c r="E131" s="1" t="s">
        <v>10</v>
      </c>
      <c r="F131" s="1" t="s">
        <v>748</v>
      </c>
      <c r="G131" s="5">
        <v>1251.02</v>
      </c>
      <c r="H131" s="3" t="s">
        <v>12</v>
      </c>
    </row>
    <row r="132" spans="1:8" x14ac:dyDescent="0.3">
      <c r="A132" s="2">
        <v>46118</v>
      </c>
      <c r="B132" s="1" t="s">
        <v>55</v>
      </c>
      <c r="C132" s="1" t="s">
        <v>8</v>
      </c>
      <c r="D132" s="1" t="s">
        <v>9</v>
      </c>
      <c r="E132" s="1" t="s">
        <v>10</v>
      </c>
      <c r="F132" s="1" t="s">
        <v>749</v>
      </c>
      <c r="G132" s="5">
        <v>450</v>
      </c>
      <c r="H132" s="3" t="s">
        <v>12</v>
      </c>
    </row>
    <row r="133" spans="1:8" x14ac:dyDescent="0.3">
      <c r="A133" s="2">
        <v>46118</v>
      </c>
      <c r="B133" s="1" t="s">
        <v>13</v>
      </c>
      <c r="C133" s="1" t="s">
        <v>8</v>
      </c>
      <c r="D133" s="1" t="s">
        <v>9</v>
      </c>
      <c r="E133" s="1" t="s">
        <v>10</v>
      </c>
      <c r="F133" s="1" t="s">
        <v>750</v>
      </c>
      <c r="G133" s="5">
        <v>1008.5</v>
      </c>
      <c r="H133" s="3" t="s">
        <v>12</v>
      </c>
    </row>
    <row r="134" spans="1:8" x14ac:dyDescent="0.3">
      <c r="A134" s="2">
        <v>46118</v>
      </c>
      <c r="B134" s="1" t="s">
        <v>218</v>
      </c>
      <c r="C134" s="1" t="s">
        <v>8</v>
      </c>
      <c r="D134" s="1" t="s">
        <v>9</v>
      </c>
      <c r="E134" s="1" t="s">
        <v>10</v>
      </c>
      <c r="F134" s="1" t="s">
        <v>751</v>
      </c>
      <c r="G134" s="5">
        <v>844.28</v>
      </c>
      <c r="H134" s="3" t="s">
        <v>12</v>
      </c>
    </row>
    <row r="135" spans="1:8" x14ac:dyDescent="0.3">
      <c r="A135" s="2">
        <v>46118</v>
      </c>
      <c r="B135" s="1" t="s">
        <v>29</v>
      </c>
      <c r="C135" s="1" t="s">
        <v>8</v>
      </c>
      <c r="D135" s="1" t="s">
        <v>9</v>
      </c>
      <c r="E135" s="1" t="s">
        <v>10</v>
      </c>
      <c r="F135" s="1" t="s">
        <v>752</v>
      </c>
      <c r="G135" s="5">
        <v>2683</v>
      </c>
      <c r="H135" s="3" t="s">
        <v>12</v>
      </c>
    </row>
    <row r="136" spans="1:8" x14ac:dyDescent="0.3">
      <c r="A136" s="2">
        <v>46118</v>
      </c>
      <c r="B136" s="1" t="s">
        <v>7</v>
      </c>
      <c r="C136" s="1" t="s">
        <v>20</v>
      </c>
      <c r="D136" s="1" t="s">
        <v>9</v>
      </c>
      <c r="E136" s="1" t="s">
        <v>10</v>
      </c>
      <c r="F136" s="1" t="s">
        <v>753</v>
      </c>
      <c r="G136" s="5">
        <v>904</v>
      </c>
      <c r="H136" s="3" t="s">
        <v>12</v>
      </c>
    </row>
    <row r="137" spans="1:8" x14ac:dyDescent="0.3">
      <c r="A137" s="2">
        <v>46118</v>
      </c>
      <c r="B137" s="1" t="s">
        <v>55</v>
      </c>
      <c r="C137" s="1" t="s">
        <v>20</v>
      </c>
      <c r="D137" s="1" t="s">
        <v>9</v>
      </c>
      <c r="E137" s="1" t="s">
        <v>28</v>
      </c>
      <c r="F137" s="1" t="s">
        <v>754</v>
      </c>
      <c r="G137" s="5">
        <v>6804</v>
      </c>
      <c r="H137" s="3" t="s">
        <v>12</v>
      </c>
    </row>
    <row r="138" spans="1:8" x14ac:dyDescent="0.3">
      <c r="A138" s="2">
        <v>46118</v>
      </c>
      <c r="B138" s="1" t="s">
        <v>55</v>
      </c>
      <c r="C138" s="1" t="s">
        <v>8</v>
      </c>
      <c r="D138" s="1" t="s">
        <v>9</v>
      </c>
      <c r="E138" s="1" t="s">
        <v>10</v>
      </c>
      <c r="F138" s="1" t="s">
        <v>755</v>
      </c>
      <c r="G138" s="5">
        <v>676.15</v>
      </c>
      <c r="H138" s="3" t="s">
        <v>12</v>
      </c>
    </row>
    <row r="139" spans="1:8" x14ac:dyDescent="0.3">
      <c r="A139" s="2">
        <v>46118</v>
      </c>
      <c r="B139" s="1" t="s">
        <v>55</v>
      </c>
      <c r="C139" s="1" t="s">
        <v>8</v>
      </c>
      <c r="D139" s="1" t="s">
        <v>9</v>
      </c>
      <c r="E139" s="1" t="s">
        <v>28</v>
      </c>
      <c r="F139" s="1" t="s">
        <v>756</v>
      </c>
      <c r="G139" s="5">
        <v>8721</v>
      </c>
      <c r="H139" s="3" t="s">
        <v>12</v>
      </c>
    </row>
    <row r="140" spans="1:8" x14ac:dyDescent="0.3">
      <c r="A140" s="2">
        <v>46118</v>
      </c>
      <c r="B140" s="1" t="s">
        <v>62</v>
      </c>
      <c r="C140" s="1" t="s">
        <v>102</v>
      </c>
      <c r="D140" s="1" t="s">
        <v>9</v>
      </c>
      <c r="E140" s="1" t="s">
        <v>10</v>
      </c>
      <c r="F140" s="1" t="s">
        <v>757</v>
      </c>
      <c r="G140" s="5">
        <v>1773</v>
      </c>
      <c r="H140" s="3" t="s">
        <v>12</v>
      </c>
    </row>
    <row r="141" spans="1:8" x14ac:dyDescent="0.3">
      <c r="A141" s="2">
        <v>46118</v>
      </c>
      <c r="B141" s="1" t="s">
        <v>62</v>
      </c>
      <c r="C141" s="1" t="s">
        <v>102</v>
      </c>
      <c r="D141" s="1" t="s">
        <v>9</v>
      </c>
      <c r="E141" s="1" t="s">
        <v>10</v>
      </c>
      <c r="F141" s="1" t="s">
        <v>758</v>
      </c>
      <c r="G141" s="5">
        <v>4873.83</v>
      </c>
      <c r="H141" s="3" t="s">
        <v>12</v>
      </c>
    </row>
    <row r="142" spans="1:8" x14ac:dyDescent="0.3">
      <c r="A142" s="2">
        <v>46118</v>
      </c>
      <c r="B142" s="1" t="s">
        <v>29</v>
      </c>
      <c r="C142" s="1" t="s">
        <v>8</v>
      </c>
      <c r="D142" s="1" t="s">
        <v>9</v>
      </c>
      <c r="E142" s="1" t="s">
        <v>10</v>
      </c>
      <c r="F142" s="1" t="s">
        <v>484</v>
      </c>
      <c r="G142" s="5">
        <v>428.6</v>
      </c>
      <c r="H142" s="3" t="s">
        <v>12</v>
      </c>
    </row>
    <row r="143" spans="1:8" x14ac:dyDescent="0.3">
      <c r="A143" s="2">
        <v>46116</v>
      </c>
      <c r="B143" s="1" t="s">
        <v>163</v>
      </c>
      <c r="C143" s="1" t="s">
        <v>8</v>
      </c>
      <c r="D143" s="1" t="s">
        <v>9</v>
      </c>
      <c r="E143" s="1" t="s">
        <v>10</v>
      </c>
      <c r="F143" s="1" t="s">
        <v>759</v>
      </c>
      <c r="G143" s="5">
        <v>4195.71</v>
      </c>
      <c r="H143" s="3" t="s">
        <v>12</v>
      </c>
    </row>
    <row r="144" spans="1:8" x14ac:dyDescent="0.3">
      <c r="A144" s="2">
        <v>46115</v>
      </c>
      <c r="B144" s="1" t="s">
        <v>19</v>
      </c>
      <c r="C144" s="1" t="s">
        <v>8</v>
      </c>
      <c r="D144" s="1" t="s">
        <v>9</v>
      </c>
      <c r="E144" s="1" t="s">
        <v>760</v>
      </c>
      <c r="F144" s="1" t="s">
        <v>761</v>
      </c>
      <c r="G144" s="5">
        <v>2299</v>
      </c>
      <c r="H144" s="3" t="s">
        <v>12</v>
      </c>
    </row>
    <row r="145" spans="1:8" x14ac:dyDescent="0.3">
      <c r="A145" s="2">
        <v>46114</v>
      </c>
      <c r="B145" s="1" t="s">
        <v>45</v>
      </c>
      <c r="C145" s="1" t="s">
        <v>20</v>
      </c>
      <c r="D145" s="1" t="s">
        <v>9</v>
      </c>
      <c r="E145" s="1" t="s">
        <v>10</v>
      </c>
      <c r="F145" s="1" t="s">
        <v>236</v>
      </c>
      <c r="G145" s="5">
        <v>1284.97</v>
      </c>
      <c r="H145" s="3" t="s">
        <v>12</v>
      </c>
    </row>
    <row r="146" spans="1:8" x14ac:dyDescent="0.3">
      <c r="A146" s="2">
        <v>46114</v>
      </c>
      <c r="B146" s="1" t="s">
        <v>45</v>
      </c>
      <c r="C146" s="1" t="s">
        <v>20</v>
      </c>
      <c r="D146" s="1" t="s">
        <v>9</v>
      </c>
      <c r="E146" s="1" t="s">
        <v>10</v>
      </c>
      <c r="F146" s="1" t="s">
        <v>423</v>
      </c>
      <c r="G146" s="5">
        <v>1974.6</v>
      </c>
      <c r="H146" s="3" t="s">
        <v>12</v>
      </c>
    </row>
    <row r="147" spans="1:8" x14ac:dyDescent="0.3">
      <c r="A147" s="2">
        <v>46114</v>
      </c>
      <c r="B147" s="1" t="s">
        <v>7</v>
      </c>
      <c r="C147" s="1" t="s">
        <v>8</v>
      </c>
      <c r="D147" s="1" t="s">
        <v>9</v>
      </c>
      <c r="E147" s="1" t="s">
        <v>10</v>
      </c>
      <c r="F147" s="1" t="s">
        <v>762</v>
      </c>
      <c r="G147" s="5">
        <v>998</v>
      </c>
      <c r="H147" s="3" t="s">
        <v>12</v>
      </c>
    </row>
    <row r="148" spans="1:8" x14ac:dyDescent="0.3">
      <c r="A148" s="2">
        <v>46114</v>
      </c>
      <c r="B148" s="1" t="s">
        <v>226</v>
      </c>
      <c r="C148" s="1" t="s">
        <v>20</v>
      </c>
      <c r="D148" s="1" t="s">
        <v>23</v>
      </c>
      <c r="E148" s="1" t="s">
        <v>10</v>
      </c>
      <c r="F148" s="1" t="s">
        <v>620</v>
      </c>
      <c r="G148" s="5">
        <v>3720.58</v>
      </c>
      <c r="H148" s="3" t="s">
        <v>12</v>
      </c>
    </row>
    <row r="149" spans="1:8" x14ac:dyDescent="0.3">
      <c r="A149" s="2">
        <v>46113</v>
      </c>
      <c r="B149" s="1" t="s">
        <v>25</v>
      </c>
      <c r="C149" s="1" t="s">
        <v>20</v>
      </c>
      <c r="D149" s="1" t="s">
        <v>9</v>
      </c>
      <c r="E149" s="1" t="s">
        <v>28</v>
      </c>
      <c r="F149" s="1" t="s">
        <v>763</v>
      </c>
      <c r="G149" s="5">
        <v>7893.98</v>
      </c>
      <c r="H149" s="3" t="s">
        <v>12</v>
      </c>
    </row>
    <row r="150" spans="1:8" x14ac:dyDescent="0.3">
      <c r="A150" s="2">
        <v>46113</v>
      </c>
      <c r="B150" s="1" t="s">
        <v>25</v>
      </c>
      <c r="C150" s="1" t="s">
        <v>20</v>
      </c>
      <c r="D150" s="1" t="s">
        <v>9</v>
      </c>
      <c r="E150" s="1" t="s">
        <v>26</v>
      </c>
      <c r="F150" s="1" t="s">
        <v>764</v>
      </c>
      <c r="G150" s="5">
        <v>155773.34</v>
      </c>
      <c r="H150" s="3" t="s">
        <v>12</v>
      </c>
    </row>
    <row r="151" spans="1:8" x14ac:dyDescent="0.3">
      <c r="A151" s="2">
        <v>46113</v>
      </c>
      <c r="B151" s="1" t="s">
        <v>17</v>
      </c>
      <c r="C151" s="1" t="s">
        <v>20</v>
      </c>
      <c r="D151" s="1" t="s">
        <v>9</v>
      </c>
      <c r="E151" s="1" t="s">
        <v>10</v>
      </c>
      <c r="F151" s="1" t="s">
        <v>765</v>
      </c>
      <c r="G151" s="5">
        <v>327.76</v>
      </c>
      <c r="H151" s="3" t="s">
        <v>12</v>
      </c>
    </row>
    <row r="152" spans="1:8" x14ac:dyDescent="0.3">
      <c r="A152" s="2">
        <v>46113</v>
      </c>
      <c r="B152" s="1" t="s">
        <v>55</v>
      </c>
      <c r="C152" s="1" t="s">
        <v>20</v>
      </c>
      <c r="D152" s="1" t="s">
        <v>9</v>
      </c>
      <c r="E152" s="1" t="s">
        <v>28</v>
      </c>
      <c r="F152" s="1" t="s">
        <v>766</v>
      </c>
      <c r="G152" s="5">
        <v>2059</v>
      </c>
      <c r="H152" s="3" t="s">
        <v>12</v>
      </c>
    </row>
    <row r="153" spans="1:8" x14ac:dyDescent="0.3">
      <c r="A153" s="2">
        <v>46113</v>
      </c>
      <c r="B153" s="1" t="s">
        <v>55</v>
      </c>
      <c r="C153" s="1" t="s">
        <v>20</v>
      </c>
      <c r="D153" s="1" t="s">
        <v>9</v>
      </c>
      <c r="E153" s="1" t="s">
        <v>10</v>
      </c>
      <c r="F153" s="1" t="s">
        <v>767</v>
      </c>
      <c r="G153" s="5">
        <v>2059</v>
      </c>
      <c r="H153" s="3" t="s">
        <v>12</v>
      </c>
    </row>
    <row r="154" spans="1:8" x14ac:dyDescent="0.3">
      <c r="G154" s="65">
        <f>SUBTOTAL(9,G2:G153)</f>
        <v>1219130.5300000003</v>
      </c>
    </row>
  </sheetData>
  <autoFilter ref="A1:H153" xr:uid="{53749771-E94F-462C-959F-F3CE1AECED4E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710A9-E1A2-43C9-86C5-44689CEDB401}">
  <dimension ref="A1:I126"/>
  <sheetViews>
    <sheetView workbookViewId="0">
      <selection activeCell="B1" sqref="B1"/>
    </sheetView>
  </sheetViews>
  <sheetFormatPr baseColWidth="10" defaultRowHeight="14.4" x14ac:dyDescent="0.3"/>
  <cols>
    <col min="1" max="1" width="11.5546875" style="74"/>
    <col min="2" max="2" width="26.33203125" customWidth="1"/>
    <col min="3" max="3" width="18.77734375" customWidth="1"/>
    <col min="4" max="4" width="21.77734375" customWidth="1"/>
    <col min="5" max="5" width="19.21875" bestFit="1" customWidth="1"/>
    <col min="6" max="6" width="35.109375" customWidth="1"/>
    <col min="7" max="7" width="18.21875" customWidth="1"/>
  </cols>
  <sheetData>
    <row r="1" spans="1:8" ht="20.399999999999999" customHeight="1" x14ac:dyDescent="0.3">
      <c r="A1" s="6" t="s">
        <v>0</v>
      </c>
      <c r="B1" s="6" t="s">
        <v>1</v>
      </c>
      <c r="C1" s="6" t="s">
        <v>2</v>
      </c>
      <c r="D1" s="6" t="s">
        <v>238</v>
      </c>
      <c r="E1" s="6" t="s">
        <v>3</v>
      </c>
      <c r="F1" s="6" t="s">
        <v>4</v>
      </c>
      <c r="G1" s="6" t="s">
        <v>5</v>
      </c>
      <c r="H1" s="6" t="s">
        <v>6</v>
      </c>
    </row>
    <row r="2" spans="1:8" x14ac:dyDescent="0.3">
      <c r="A2" s="73">
        <v>46171</v>
      </c>
      <c r="B2" s="1" t="s">
        <v>34</v>
      </c>
      <c r="C2" s="1" t="s">
        <v>8</v>
      </c>
      <c r="D2" s="1" t="s">
        <v>9</v>
      </c>
      <c r="E2" s="1" t="s">
        <v>10</v>
      </c>
      <c r="F2" s="1" t="s">
        <v>785</v>
      </c>
      <c r="G2" s="5">
        <v>879.56</v>
      </c>
      <c r="H2" s="3" t="s">
        <v>12</v>
      </c>
    </row>
    <row r="3" spans="1:8" x14ac:dyDescent="0.3">
      <c r="A3" s="73">
        <v>46171</v>
      </c>
      <c r="B3" s="1" t="s">
        <v>17</v>
      </c>
      <c r="C3" s="1" t="s">
        <v>8</v>
      </c>
      <c r="D3" s="1" t="s">
        <v>9</v>
      </c>
      <c r="E3" s="1" t="s">
        <v>10</v>
      </c>
      <c r="F3" s="1" t="s">
        <v>786</v>
      </c>
      <c r="G3" s="5">
        <v>327.76</v>
      </c>
      <c r="H3" s="3" t="s">
        <v>12</v>
      </c>
    </row>
    <row r="4" spans="1:8" x14ac:dyDescent="0.3">
      <c r="A4" s="73">
        <v>46171</v>
      </c>
      <c r="B4" s="1" t="s">
        <v>34</v>
      </c>
      <c r="C4" s="1" t="s">
        <v>8</v>
      </c>
      <c r="D4" s="1" t="s">
        <v>9</v>
      </c>
      <c r="E4" s="1" t="s">
        <v>10</v>
      </c>
      <c r="F4" s="1" t="s">
        <v>787</v>
      </c>
      <c r="G4" s="5">
        <v>1250.28</v>
      </c>
      <c r="H4" s="3" t="s">
        <v>12</v>
      </c>
    </row>
    <row r="5" spans="1:8" x14ac:dyDescent="0.3">
      <c r="A5" s="73">
        <v>46171</v>
      </c>
      <c r="B5" s="1" t="s">
        <v>25</v>
      </c>
      <c r="C5" s="1" t="s">
        <v>20</v>
      </c>
      <c r="D5" s="1" t="s">
        <v>9</v>
      </c>
      <c r="E5" s="1" t="s">
        <v>28</v>
      </c>
      <c r="F5" s="1" t="s">
        <v>788</v>
      </c>
      <c r="G5" s="5">
        <v>7845.7</v>
      </c>
      <c r="H5" s="3" t="s">
        <v>12</v>
      </c>
    </row>
    <row r="6" spans="1:8" x14ac:dyDescent="0.3">
      <c r="A6" s="73">
        <v>46171</v>
      </c>
      <c r="B6" s="1" t="s">
        <v>25</v>
      </c>
      <c r="C6" s="1" t="s">
        <v>20</v>
      </c>
      <c r="D6" s="1" t="s">
        <v>9</v>
      </c>
      <c r="E6" s="1" t="s">
        <v>26</v>
      </c>
      <c r="F6" s="1" t="s">
        <v>788</v>
      </c>
      <c r="G6" s="5">
        <v>152683.70000000001</v>
      </c>
      <c r="H6" s="3" t="s">
        <v>12</v>
      </c>
    </row>
    <row r="7" spans="1:8" x14ac:dyDescent="0.3">
      <c r="A7" s="73">
        <v>46171</v>
      </c>
      <c r="B7" s="1" t="s">
        <v>135</v>
      </c>
      <c r="C7" s="1" t="s">
        <v>20</v>
      </c>
      <c r="D7" s="1" t="s">
        <v>9</v>
      </c>
      <c r="E7" s="1" t="s">
        <v>10</v>
      </c>
      <c r="F7" s="1" t="s">
        <v>789</v>
      </c>
      <c r="G7" s="5">
        <v>132588.07</v>
      </c>
      <c r="H7" s="3" t="s">
        <v>12</v>
      </c>
    </row>
    <row r="8" spans="1:8" x14ac:dyDescent="0.3">
      <c r="A8" s="73">
        <v>46171</v>
      </c>
      <c r="B8" s="1" t="s">
        <v>53</v>
      </c>
      <c r="C8" s="1" t="s">
        <v>8</v>
      </c>
      <c r="D8" s="1" t="s">
        <v>9</v>
      </c>
      <c r="E8" s="1" t="s">
        <v>10</v>
      </c>
      <c r="F8" s="1" t="s">
        <v>455</v>
      </c>
      <c r="G8" s="5">
        <v>406</v>
      </c>
      <c r="H8" s="3" t="s">
        <v>12</v>
      </c>
    </row>
    <row r="9" spans="1:8" x14ac:dyDescent="0.3">
      <c r="A9" s="73">
        <v>46171</v>
      </c>
      <c r="B9" s="1" t="s">
        <v>53</v>
      </c>
      <c r="C9" s="1" t="s">
        <v>8</v>
      </c>
      <c r="D9" s="1" t="s">
        <v>9</v>
      </c>
      <c r="E9" s="1" t="s">
        <v>28</v>
      </c>
      <c r="F9" s="1" t="s">
        <v>456</v>
      </c>
      <c r="G9" s="5">
        <v>1590.79</v>
      </c>
      <c r="H9" s="3" t="s">
        <v>12</v>
      </c>
    </row>
    <row r="10" spans="1:8" x14ac:dyDescent="0.3">
      <c r="A10" s="73">
        <v>46171</v>
      </c>
      <c r="B10" s="1" t="s">
        <v>53</v>
      </c>
      <c r="C10" s="1" t="s">
        <v>8</v>
      </c>
      <c r="D10" s="1" t="s">
        <v>9</v>
      </c>
      <c r="E10" s="1" t="s">
        <v>10</v>
      </c>
      <c r="F10" s="1" t="s">
        <v>790</v>
      </c>
      <c r="G10" s="5">
        <v>642.97</v>
      </c>
      <c r="H10" s="3" t="s">
        <v>12</v>
      </c>
    </row>
    <row r="11" spans="1:8" x14ac:dyDescent="0.3">
      <c r="A11" s="73">
        <v>46171</v>
      </c>
      <c r="B11" s="1" t="s">
        <v>55</v>
      </c>
      <c r="C11" s="1" t="s">
        <v>20</v>
      </c>
      <c r="D11" s="1" t="s">
        <v>9</v>
      </c>
      <c r="E11" s="1" t="s">
        <v>215</v>
      </c>
      <c r="F11" s="1" t="s">
        <v>791</v>
      </c>
      <c r="G11" s="5">
        <v>3240</v>
      </c>
      <c r="H11" s="3" t="s">
        <v>12</v>
      </c>
    </row>
    <row r="12" spans="1:8" x14ac:dyDescent="0.3">
      <c r="A12" s="73">
        <v>46171</v>
      </c>
      <c r="B12" s="1" t="s">
        <v>60</v>
      </c>
      <c r="C12" s="1" t="s">
        <v>8</v>
      </c>
      <c r="D12" s="1" t="s">
        <v>9</v>
      </c>
      <c r="E12" s="1" t="s">
        <v>10</v>
      </c>
      <c r="F12" s="1" t="s">
        <v>792</v>
      </c>
      <c r="G12" s="5">
        <v>1800</v>
      </c>
      <c r="H12" s="3" t="s">
        <v>12</v>
      </c>
    </row>
    <row r="13" spans="1:8" x14ac:dyDescent="0.3">
      <c r="A13" s="73">
        <v>46171</v>
      </c>
      <c r="B13" s="1" t="s">
        <v>29</v>
      </c>
      <c r="C13" s="1" t="s">
        <v>30</v>
      </c>
      <c r="D13" s="1" t="s">
        <v>9</v>
      </c>
      <c r="E13" s="1" t="s">
        <v>28</v>
      </c>
      <c r="F13" s="1" t="s">
        <v>793</v>
      </c>
      <c r="G13" s="5">
        <v>900</v>
      </c>
      <c r="H13" s="3" t="s">
        <v>12</v>
      </c>
    </row>
    <row r="14" spans="1:8" x14ac:dyDescent="0.3">
      <c r="A14" s="73">
        <v>46171</v>
      </c>
      <c r="B14" s="1" t="s">
        <v>29</v>
      </c>
      <c r="C14" s="1" t="s">
        <v>30</v>
      </c>
      <c r="D14" s="1" t="s">
        <v>9</v>
      </c>
      <c r="E14" s="1" t="s">
        <v>10</v>
      </c>
      <c r="F14" s="1" t="s">
        <v>793</v>
      </c>
      <c r="G14" s="5">
        <v>900</v>
      </c>
      <c r="H14" s="3" t="s">
        <v>12</v>
      </c>
    </row>
    <row r="15" spans="1:8" x14ac:dyDescent="0.3">
      <c r="A15" s="73">
        <v>46170</v>
      </c>
      <c r="B15" s="1" t="s">
        <v>89</v>
      </c>
      <c r="C15" s="1" t="s">
        <v>8</v>
      </c>
      <c r="D15" s="1" t="s">
        <v>23</v>
      </c>
      <c r="E15" s="1" t="s">
        <v>10</v>
      </c>
      <c r="F15" s="1" t="s">
        <v>794</v>
      </c>
      <c r="G15" s="5">
        <v>172</v>
      </c>
      <c r="H15" s="3" t="s">
        <v>12</v>
      </c>
    </row>
    <row r="16" spans="1:8" x14ac:dyDescent="0.3">
      <c r="A16" s="73">
        <v>46170</v>
      </c>
      <c r="B16" s="1" t="s">
        <v>34</v>
      </c>
      <c r="C16" s="1" t="s">
        <v>8</v>
      </c>
      <c r="D16" s="1" t="s">
        <v>9</v>
      </c>
      <c r="E16" s="1" t="s">
        <v>10</v>
      </c>
      <c r="F16" s="1" t="s">
        <v>795</v>
      </c>
      <c r="G16" s="5">
        <v>1902.58</v>
      </c>
      <c r="H16" s="3" t="s">
        <v>12</v>
      </c>
    </row>
    <row r="17" spans="1:8" x14ac:dyDescent="0.3">
      <c r="A17" s="73">
        <v>46170</v>
      </c>
      <c r="B17" s="1" t="s">
        <v>19</v>
      </c>
      <c r="C17" s="1" t="s">
        <v>8</v>
      </c>
      <c r="D17" s="1" t="s">
        <v>9</v>
      </c>
      <c r="E17" s="1" t="s">
        <v>10</v>
      </c>
      <c r="F17" s="1" t="s">
        <v>796</v>
      </c>
      <c r="G17" s="5">
        <v>6650.38</v>
      </c>
      <c r="H17" s="3" t="s">
        <v>12</v>
      </c>
    </row>
    <row r="18" spans="1:8" x14ac:dyDescent="0.3">
      <c r="A18" s="73">
        <v>46170</v>
      </c>
      <c r="B18" s="1" t="s">
        <v>163</v>
      </c>
      <c r="C18" s="1" t="s">
        <v>8</v>
      </c>
      <c r="D18" s="1" t="s">
        <v>9</v>
      </c>
      <c r="E18" s="1" t="s">
        <v>10</v>
      </c>
      <c r="F18" s="1" t="s">
        <v>797</v>
      </c>
      <c r="G18" s="5">
        <v>2016</v>
      </c>
      <c r="H18" s="3" t="s">
        <v>12</v>
      </c>
    </row>
    <row r="19" spans="1:8" x14ac:dyDescent="0.3">
      <c r="A19" s="73">
        <v>46170</v>
      </c>
      <c r="B19" s="1" t="s">
        <v>163</v>
      </c>
      <c r="C19" s="1" t="s">
        <v>8</v>
      </c>
      <c r="D19" s="1" t="s">
        <v>9</v>
      </c>
      <c r="E19" s="1" t="s">
        <v>10</v>
      </c>
      <c r="F19" s="1" t="s">
        <v>798</v>
      </c>
      <c r="G19" s="5">
        <v>344.03</v>
      </c>
      <c r="H19" s="3" t="s">
        <v>12</v>
      </c>
    </row>
    <row r="20" spans="1:8" x14ac:dyDescent="0.3">
      <c r="A20" s="73">
        <v>46170</v>
      </c>
      <c r="B20" s="1" t="s">
        <v>13</v>
      </c>
      <c r="C20" s="1" t="s">
        <v>8</v>
      </c>
      <c r="D20" s="1" t="s">
        <v>9</v>
      </c>
      <c r="E20" s="1" t="s">
        <v>10</v>
      </c>
      <c r="F20" s="1" t="s">
        <v>799</v>
      </c>
      <c r="G20" s="5">
        <v>320</v>
      </c>
      <c r="H20" s="3" t="s">
        <v>12</v>
      </c>
    </row>
    <row r="21" spans="1:8" x14ac:dyDescent="0.3">
      <c r="A21" s="73">
        <v>46170</v>
      </c>
      <c r="B21" s="1" t="s">
        <v>34</v>
      </c>
      <c r="C21" s="1" t="s">
        <v>8</v>
      </c>
      <c r="D21" s="1" t="s">
        <v>9</v>
      </c>
      <c r="E21" s="1" t="s">
        <v>10</v>
      </c>
      <c r="F21" s="1" t="s">
        <v>800</v>
      </c>
      <c r="G21" s="5">
        <v>1894.64</v>
      </c>
      <c r="H21" s="3" t="s">
        <v>12</v>
      </c>
    </row>
    <row r="22" spans="1:8" x14ac:dyDescent="0.3">
      <c r="A22" s="73">
        <v>46170</v>
      </c>
      <c r="B22" s="1" t="s">
        <v>34</v>
      </c>
      <c r="C22" s="1" t="s">
        <v>8</v>
      </c>
      <c r="D22" s="1" t="s">
        <v>9</v>
      </c>
      <c r="E22" s="1" t="s">
        <v>10</v>
      </c>
      <c r="F22" s="1" t="s">
        <v>801</v>
      </c>
      <c r="G22" s="5">
        <v>515.6</v>
      </c>
      <c r="H22" s="3" t="s">
        <v>12</v>
      </c>
    </row>
    <row r="23" spans="1:8" x14ac:dyDescent="0.3">
      <c r="A23" s="73">
        <v>46169</v>
      </c>
      <c r="B23" s="1" t="s">
        <v>81</v>
      </c>
      <c r="C23" s="1" t="s">
        <v>8</v>
      </c>
      <c r="D23" s="1" t="s">
        <v>9</v>
      </c>
      <c r="E23" s="1" t="s">
        <v>10</v>
      </c>
      <c r="F23" s="1" t="s">
        <v>802</v>
      </c>
      <c r="G23" s="5">
        <v>536</v>
      </c>
      <c r="H23" s="3" t="s">
        <v>12</v>
      </c>
    </row>
    <row r="24" spans="1:8" x14ac:dyDescent="0.3">
      <c r="A24" s="73">
        <v>46169</v>
      </c>
      <c r="B24" s="1" t="s">
        <v>81</v>
      </c>
      <c r="C24" s="1" t="s">
        <v>30</v>
      </c>
      <c r="D24" s="1" t="s">
        <v>9</v>
      </c>
      <c r="E24" s="1" t="s">
        <v>10</v>
      </c>
      <c r="F24" s="1" t="s">
        <v>802</v>
      </c>
      <c r="G24" s="5">
        <v>722</v>
      </c>
      <c r="H24" s="3" t="s">
        <v>12</v>
      </c>
    </row>
    <row r="25" spans="1:8" x14ac:dyDescent="0.3">
      <c r="A25" s="73">
        <v>46169</v>
      </c>
      <c r="B25" s="1" t="s">
        <v>89</v>
      </c>
      <c r="C25" s="1" t="s">
        <v>8</v>
      </c>
      <c r="D25" s="1" t="s">
        <v>9</v>
      </c>
      <c r="E25" s="1" t="s">
        <v>10</v>
      </c>
      <c r="F25" s="1" t="s">
        <v>803</v>
      </c>
      <c r="G25" s="5">
        <v>60</v>
      </c>
      <c r="H25" s="3" t="s">
        <v>12</v>
      </c>
    </row>
    <row r="26" spans="1:8" x14ac:dyDescent="0.3">
      <c r="A26" s="73">
        <v>46169</v>
      </c>
      <c r="B26" s="1" t="s">
        <v>50</v>
      </c>
      <c r="C26" s="1" t="s">
        <v>8</v>
      </c>
      <c r="D26" s="1" t="s">
        <v>9</v>
      </c>
      <c r="E26" s="1" t="s">
        <v>10</v>
      </c>
      <c r="F26" s="1" t="s">
        <v>804</v>
      </c>
      <c r="G26" s="5">
        <v>93</v>
      </c>
      <c r="H26" s="3" t="s">
        <v>12</v>
      </c>
    </row>
    <row r="27" spans="1:8" x14ac:dyDescent="0.3">
      <c r="A27" s="73">
        <v>46169</v>
      </c>
      <c r="B27" s="1" t="s">
        <v>163</v>
      </c>
      <c r="C27" s="1" t="s">
        <v>8</v>
      </c>
      <c r="D27" s="1" t="s">
        <v>9</v>
      </c>
      <c r="E27" s="1" t="s">
        <v>10</v>
      </c>
      <c r="F27" s="1" t="s">
        <v>805</v>
      </c>
      <c r="G27" s="5">
        <v>85</v>
      </c>
      <c r="H27" s="3" t="s">
        <v>12</v>
      </c>
    </row>
    <row r="28" spans="1:8" x14ac:dyDescent="0.3">
      <c r="A28" s="73">
        <v>46168</v>
      </c>
      <c r="B28" s="1" t="s">
        <v>13</v>
      </c>
      <c r="C28" s="1" t="s">
        <v>8</v>
      </c>
      <c r="D28" s="1" t="s">
        <v>9</v>
      </c>
      <c r="E28" s="1" t="s">
        <v>10</v>
      </c>
      <c r="F28" s="1" t="s">
        <v>806</v>
      </c>
      <c r="G28" s="5">
        <v>3190.2</v>
      </c>
      <c r="H28" s="3" t="s">
        <v>12</v>
      </c>
    </row>
    <row r="29" spans="1:8" x14ac:dyDescent="0.3">
      <c r="A29" s="73">
        <v>46168</v>
      </c>
      <c r="B29" s="1" t="s">
        <v>34</v>
      </c>
      <c r="C29" s="1" t="s">
        <v>8</v>
      </c>
      <c r="D29" s="1" t="s">
        <v>9</v>
      </c>
      <c r="E29" s="1" t="s">
        <v>10</v>
      </c>
      <c r="F29" s="1" t="s">
        <v>807</v>
      </c>
      <c r="G29" s="5">
        <v>2050.56</v>
      </c>
      <c r="H29" s="3" t="s">
        <v>12</v>
      </c>
    </row>
    <row r="30" spans="1:8" x14ac:dyDescent="0.3">
      <c r="A30" s="73">
        <v>46168</v>
      </c>
      <c r="B30" s="1" t="s">
        <v>34</v>
      </c>
      <c r="C30" s="1" t="s">
        <v>8</v>
      </c>
      <c r="D30" s="1" t="s">
        <v>9</v>
      </c>
      <c r="E30" s="1" t="s">
        <v>10</v>
      </c>
      <c r="F30" s="1" t="s">
        <v>808</v>
      </c>
      <c r="G30" s="5">
        <v>1663.74</v>
      </c>
      <c r="H30" s="3" t="s">
        <v>12</v>
      </c>
    </row>
    <row r="31" spans="1:8" x14ac:dyDescent="0.3">
      <c r="A31" s="73">
        <v>46168</v>
      </c>
      <c r="B31" s="1" t="s">
        <v>34</v>
      </c>
      <c r="C31" s="1" t="s">
        <v>8</v>
      </c>
      <c r="D31" s="1" t="s">
        <v>9</v>
      </c>
      <c r="E31" s="1" t="s">
        <v>10</v>
      </c>
      <c r="F31" s="1" t="s">
        <v>809</v>
      </c>
      <c r="G31" s="5">
        <v>694.46</v>
      </c>
      <c r="H31" s="3" t="s">
        <v>12</v>
      </c>
    </row>
    <row r="32" spans="1:8" x14ac:dyDescent="0.3">
      <c r="A32" s="73">
        <v>46168</v>
      </c>
      <c r="B32" s="1" t="s">
        <v>89</v>
      </c>
      <c r="C32" s="1" t="s">
        <v>8</v>
      </c>
      <c r="D32" s="1" t="s">
        <v>9</v>
      </c>
      <c r="E32" s="1" t="s">
        <v>10</v>
      </c>
      <c r="F32" s="1" t="s">
        <v>810</v>
      </c>
      <c r="G32" s="5">
        <v>86</v>
      </c>
      <c r="H32" s="3" t="s">
        <v>12</v>
      </c>
    </row>
    <row r="33" spans="1:8" x14ac:dyDescent="0.3">
      <c r="A33" s="73">
        <v>46168</v>
      </c>
      <c r="B33" s="1" t="s">
        <v>45</v>
      </c>
      <c r="C33" s="1" t="s">
        <v>8</v>
      </c>
      <c r="D33" s="1" t="s">
        <v>9</v>
      </c>
      <c r="E33" s="1" t="s">
        <v>10</v>
      </c>
      <c r="F33" s="1" t="s">
        <v>648</v>
      </c>
      <c r="G33" s="5">
        <v>5566.41</v>
      </c>
      <c r="H33" s="3" t="s">
        <v>12</v>
      </c>
    </row>
    <row r="34" spans="1:8" x14ac:dyDescent="0.3">
      <c r="A34" s="73">
        <v>46168</v>
      </c>
      <c r="B34" s="1" t="s">
        <v>45</v>
      </c>
      <c r="C34" s="1" t="s">
        <v>8</v>
      </c>
      <c r="D34" s="1" t="s">
        <v>9</v>
      </c>
      <c r="E34" s="1" t="s">
        <v>10</v>
      </c>
      <c r="F34" s="1" t="s">
        <v>811</v>
      </c>
      <c r="G34" s="5">
        <v>3507.21</v>
      </c>
      <c r="H34" s="3" t="s">
        <v>12</v>
      </c>
    </row>
    <row r="35" spans="1:8" x14ac:dyDescent="0.3">
      <c r="A35" s="73">
        <v>46168</v>
      </c>
      <c r="B35" s="1" t="s">
        <v>13</v>
      </c>
      <c r="C35" s="1" t="s">
        <v>8</v>
      </c>
      <c r="D35" s="1" t="s">
        <v>9</v>
      </c>
      <c r="E35" s="1" t="s">
        <v>10</v>
      </c>
      <c r="F35" s="1" t="s">
        <v>812</v>
      </c>
      <c r="G35" s="5">
        <v>7170.12</v>
      </c>
      <c r="H35" s="3" t="s">
        <v>12</v>
      </c>
    </row>
    <row r="36" spans="1:8" x14ac:dyDescent="0.3">
      <c r="A36" s="73">
        <v>46167</v>
      </c>
      <c r="B36" s="1" t="s">
        <v>50</v>
      </c>
      <c r="C36" s="1" t="s">
        <v>8</v>
      </c>
      <c r="D36" s="1" t="s">
        <v>9</v>
      </c>
      <c r="E36" s="1" t="s">
        <v>10</v>
      </c>
      <c r="F36" s="1" t="s">
        <v>813</v>
      </c>
      <c r="G36" s="5">
        <v>46.5</v>
      </c>
      <c r="H36" s="3" t="s">
        <v>12</v>
      </c>
    </row>
    <row r="37" spans="1:8" x14ac:dyDescent="0.3">
      <c r="A37" s="73">
        <v>46165</v>
      </c>
      <c r="B37" s="1" t="s">
        <v>34</v>
      </c>
      <c r="C37" s="1" t="s">
        <v>102</v>
      </c>
      <c r="D37" s="1" t="s">
        <v>9</v>
      </c>
      <c r="E37" s="1" t="s">
        <v>10</v>
      </c>
      <c r="F37" s="1" t="s">
        <v>814</v>
      </c>
      <c r="G37" s="5">
        <v>500</v>
      </c>
      <c r="H37" s="3" t="s">
        <v>12</v>
      </c>
    </row>
    <row r="38" spans="1:8" x14ac:dyDescent="0.3">
      <c r="A38" s="73">
        <v>46164</v>
      </c>
      <c r="B38" s="1" t="s">
        <v>25</v>
      </c>
      <c r="C38" s="1" t="s">
        <v>20</v>
      </c>
      <c r="D38" s="1" t="s">
        <v>9</v>
      </c>
      <c r="E38" s="1" t="s">
        <v>26</v>
      </c>
      <c r="F38" s="1" t="s">
        <v>815</v>
      </c>
      <c r="G38" s="5">
        <v>145239.82999999999</v>
      </c>
      <c r="H38" s="3" t="s">
        <v>12</v>
      </c>
    </row>
    <row r="39" spans="1:8" x14ac:dyDescent="0.3">
      <c r="A39" s="73">
        <v>46164</v>
      </c>
      <c r="B39" s="1" t="s">
        <v>25</v>
      </c>
      <c r="C39" s="1" t="s">
        <v>20</v>
      </c>
      <c r="D39" s="1" t="s">
        <v>9</v>
      </c>
      <c r="E39" s="1" t="s">
        <v>71</v>
      </c>
      <c r="F39" s="1" t="s">
        <v>815</v>
      </c>
      <c r="G39" s="5">
        <v>7845.7</v>
      </c>
      <c r="H39" s="3" t="s">
        <v>12</v>
      </c>
    </row>
    <row r="40" spans="1:8" x14ac:dyDescent="0.3">
      <c r="A40" s="73">
        <v>46164</v>
      </c>
      <c r="B40" s="1" t="s">
        <v>17</v>
      </c>
      <c r="C40" s="1" t="s">
        <v>8</v>
      </c>
      <c r="D40" s="1" t="s">
        <v>9</v>
      </c>
      <c r="E40" s="1" t="s">
        <v>10</v>
      </c>
      <c r="F40" s="1" t="s">
        <v>816</v>
      </c>
      <c r="G40" s="5">
        <v>327.76</v>
      </c>
      <c r="H40" s="3" t="s">
        <v>12</v>
      </c>
    </row>
    <row r="41" spans="1:8" x14ac:dyDescent="0.3">
      <c r="A41" s="73">
        <v>46164</v>
      </c>
      <c r="B41" s="1" t="s">
        <v>154</v>
      </c>
      <c r="C41" s="1" t="s">
        <v>8</v>
      </c>
      <c r="D41" s="1" t="s">
        <v>9</v>
      </c>
      <c r="E41" s="1" t="s">
        <v>10</v>
      </c>
      <c r="F41" s="1" t="s">
        <v>334</v>
      </c>
      <c r="G41" s="5">
        <v>11744.1</v>
      </c>
      <c r="H41" s="3" t="s">
        <v>12</v>
      </c>
    </row>
    <row r="42" spans="1:8" x14ac:dyDescent="0.3">
      <c r="A42" s="73">
        <v>46164</v>
      </c>
      <c r="B42" s="1" t="s">
        <v>13</v>
      </c>
      <c r="C42" s="1" t="s">
        <v>102</v>
      </c>
      <c r="D42" s="1" t="s">
        <v>9</v>
      </c>
      <c r="E42" s="1" t="s">
        <v>10</v>
      </c>
      <c r="F42" s="1" t="s">
        <v>817</v>
      </c>
      <c r="G42" s="5">
        <v>2999</v>
      </c>
      <c r="H42" s="3" t="s">
        <v>12</v>
      </c>
    </row>
    <row r="43" spans="1:8" x14ac:dyDescent="0.3">
      <c r="A43" s="73">
        <v>46163</v>
      </c>
      <c r="B43" s="1" t="s">
        <v>34</v>
      </c>
      <c r="C43" s="1" t="s">
        <v>8</v>
      </c>
      <c r="D43" s="1" t="s">
        <v>9</v>
      </c>
      <c r="E43" s="1" t="s">
        <v>10</v>
      </c>
      <c r="F43" s="1" t="s">
        <v>818</v>
      </c>
      <c r="G43" s="5">
        <v>2041.62</v>
      </c>
      <c r="H43" s="3" t="s">
        <v>12</v>
      </c>
    </row>
    <row r="44" spans="1:8" x14ac:dyDescent="0.3">
      <c r="A44" s="73">
        <v>46162</v>
      </c>
      <c r="B44" s="1" t="s">
        <v>79</v>
      </c>
      <c r="C44" s="1" t="s">
        <v>8</v>
      </c>
      <c r="D44" s="1" t="s">
        <v>9</v>
      </c>
      <c r="E44" s="1" t="s">
        <v>890</v>
      </c>
      <c r="F44" s="1" t="s">
        <v>819</v>
      </c>
      <c r="G44" s="5">
        <v>950.68</v>
      </c>
      <c r="H44" s="3" t="s">
        <v>12</v>
      </c>
    </row>
    <row r="45" spans="1:8" x14ac:dyDescent="0.3">
      <c r="A45" s="73">
        <v>46162</v>
      </c>
      <c r="B45" s="1" t="s">
        <v>34</v>
      </c>
      <c r="C45" s="1" t="s">
        <v>102</v>
      </c>
      <c r="D45" s="1" t="s">
        <v>9</v>
      </c>
      <c r="E45" s="1" t="s">
        <v>10</v>
      </c>
      <c r="F45" s="1" t="s">
        <v>820</v>
      </c>
      <c r="G45" s="5">
        <v>1355.4</v>
      </c>
      <c r="H45" s="3" t="s">
        <v>12</v>
      </c>
    </row>
    <row r="46" spans="1:8" x14ac:dyDescent="0.3">
      <c r="A46" s="73">
        <v>46162</v>
      </c>
      <c r="B46" s="1" t="s">
        <v>50</v>
      </c>
      <c r="C46" s="1" t="s">
        <v>30</v>
      </c>
      <c r="D46" s="1" t="s">
        <v>9</v>
      </c>
      <c r="E46" s="1" t="s">
        <v>10</v>
      </c>
      <c r="F46" s="1" t="s">
        <v>821</v>
      </c>
      <c r="G46" s="5">
        <v>104</v>
      </c>
      <c r="H46" s="3" t="s">
        <v>12</v>
      </c>
    </row>
    <row r="47" spans="1:8" x14ac:dyDescent="0.3">
      <c r="A47" s="73">
        <v>46162</v>
      </c>
      <c r="B47" s="1" t="s">
        <v>29</v>
      </c>
      <c r="C47" s="1" t="s">
        <v>102</v>
      </c>
      <c r="D47" s="1" t="s">
        <v>9</v>
      </c>
      <c r="E47" s="1" t="s">
        <v>10</v>
      </c>
      <c r="F47" s="1" t="s">
        <v>822</v>
      </c>
      <c r="G47" s="5">
        <v>6545.21</v>
      </c>
      <c r="H47" s="3" t="s">
        <v>12</v>
      </c>
    </row>
    <row r="48" spans="1:8" x14ac:dyDescent="0.3">
      <c r="A48" s="73">
        <v>46162</v>
      </c>
      <c r="B48" s="1" t="s">
        <v>180</v>
      </c>
      <c r="C48" s="1" t="s">
        <v>8</v>
      </c>
      <c r="D48" s="1" t="s">
        <v>9</v>
      </c>
      <c r="E48" s="1" t="s">
        <v>10</v>
      </c>
      <c r="F48" s="1" t="s">
        <v>823</v>
      </c>
      <c r="G48" s="5">
        <v>175.52</v>
      </c>
      <c r="H48" s="3" t="s">
        <v>12</v>
      </c>
    </row>
    <row r="49" spans="1:8" x14ac:dyDescent="0.3">
      <c r="A49" s="73">
        <v>46162</v>
      </c>
      <c r="B49" s="1" t="s">
        <v>55</v>
      </c>
      <c r="C49" s="1" t="s">
        <v>8</v>
      </c>
      <c r="D49" s="1" t="s">
        <v>9</v>
      </c>
      <c r="E49" s="1" t="s">
        <v>10</v>
      </c>
      <c r="F49" s="1" t="s">
        <v>824</v>
      </c>
      <c r="G49" s="5">
        <v>5668.5</v>
      </c>
      <c r="H49" s="3" t="s">
        <v>12</v>
      </c>
    </row>
    <row r="50" spans="1:8" x14ac:dyDescent="0.3">
      <c r="A50" s="73">
        <v>46162</v>
      </c>
      <c r="B50" s="1" t="s">
        <v>79</v>
      </c>
      <c r="C50" s="1" t="s">
        <v>20</v>
      </c>
      <c r="D50" s="1" t="s">
        <v>9</v>
      </c>
      <c r="E50" s="1" t="s">
        <v>10</v>
      </c>
      <c r="F50" s="1" t="s">
        <v>825</v>
      </c>
      <c r="G50" s="5">
        <v>561.6</v>
      </c>
      <c r="H50" s="3" t="s">
        <v>12</v>
      </c>
    </row>
    <row r="51" spans="1:8" x14ac:dyDescent="0.3">
      <c r="A51" s="73">
        <v>46161</v>
      </c>
      <c r="B51" s="1" t="s">
        <v>34</v>
      </c>
      <c r="C51" s="1" t="s">
        <v>8</v>
      </c>
      <c r="D51" s="1" t="s">
        <v>9</v>
      </c>
      <c r="E51" s="1" t="s">
        <v>10</v>
      </c>
      <c r="F51" s="1" t="s">
        <v>826</v>
      </c>
      <c r="G51" s="5">
        <v>1220.07</v>
      </c>
      <c r="H51" s="3" t="s">
        <v>12</v>
      </c>
    </row>
    <row r="52" spans="1:8" x14ac:dyDescent="0.3">
      <c r="A52" s="73">
        <v>46161</v>
      </c>
      <c r="B52" s="1" t="s">
        <v>180</v>
      </c>
      <c r="C52" s="1" t="s">
        <v>102</v>
      </c>
      <c r="D52" s="1" t="s">
        <v>9</v>
      </c>
      <c r="E52" s="1" t="s">
        <v>10</v>
      </c>
      <c r="F52" s="1" t="s">
        <v>827</v>
      </c>
      <c r="G52" s="5">
        <v>263</v>
      </c>
      <c r="H52" s="3" t="s">
        <v>12</v>
      </c>
    </row>
    <row r="53" spans="1:8" x14ac:dyDescent="0.3">
      <c r="A53" s="73">
        <v>46161</v>
      </c>
      <c r="B53" s="1" t="s">
        <v>180</v>
      </c>
      <c r="C53" s="1" t="s">
        <v>102</v>
      </c>
      <c r="D53" s="1" t="s">
        <v>9</v>
      </c>
      <c r="E53" s="1" t="s">
        <v>10</v>
      </c>
      <c r="F53" s="1" t="s">
        <v>828</v>
      </c>
      <c r="G53" s="5">
        <v>195</v>
      </c>
      <c r="H53" s="3" t="s">
        <v>12</v>
      </c>
    </row>
    <row r="54" spans="1:8" x14ac:dyDescent="0.3">
      <c r="A54" s="73">
        <v>46160</v>
      </c>
      <c r="B54" s="1" t="s">
        <v>34</v>
      </c>
      <c r="C54" s="1" t="s">
        <v>8</v>
      </c>
      <c r="D54" s="1" t="s">
        <v>9</v>
      </c>
      <c r="E54" s="1" t="s">
        <v>10</v>
      </c>
      <c r="F54" s="1" t="s">
        <v>829</v>
      </c>
      <c r="G54" s="5">
        <v>1858.43</v>
      </c>
      <c r="H54" s="3" t="s">
        <v>12</v>
      </c>
    </row>
    <row r="55" spans="1:8" x14ac:dyDescent="0.3">
      <c r="A55" s="73">
        <v>46160</v>
      </c>
      <c r="B55" s="1" t="s">
        <v>370</v>
      </c>
      <c r="C55" s="1" t="s">
        <v>43</v>
      </c>
      <c r="D55" s="1" t="s">
        <v>9</v>
      </c>
      <c r="E55" s="1" t="s">
        <v>10</v>
      </c>
      <c r="F55" s="1" t="s">
        <v>830</v>
      </c>
      <c r="G55" s="5">
        <v>20198</v>
      </c>
      <c r="H55" s="3" t="s">
        <v>12</v>
      </c>
    </row>
    <row r="56" spans="1:8" x14ac:dyDescent="0.3">
      <c r="A56" s="73">
        <v>46160</v>
      </c>
      <c r="B56" s="1" t="s">
        <v>34</v>
      </c>
      <c r="C56" s="1" t="s">
        <v>8</v>
      </c>
      <c r="D56" s="1" t="s">
        <v>9</v>
      </c>
      <c r="E56" s="1" t="s">
        <v>10</v>
      </c>
      <c r="F56" s="1" t="s">
        <v>831</v>
      </c>
      <c r="G56" s="5">
        <v>1179.18</v>
      </c>
      <c r="H56" s="3" t="s">
        <v>12</v>
      </c>
    </row>
    <row r="57" spans="1:8" x14ac:dyDescent="0.3">
      <c r="A57" s="73">
        <v>46160</v>
      </c>
      <c r="B57" s="1" t="s">
        <v>34</v>
      </c>
      <c r="C57" s="1" t="s">
        <v>8</v>
      </c>
      <c r="D57" s="1" t="s">
        <v>9</v>
      </c>
      <c r="E57" s="1" t="s">
        <v>10</v>
      </c>
      <c r="F57" s="1" t="s">
        <v>832</v>
      </c>
      <c r="G57" s="5">
        <v>853.12</v>
      </c>
      <c r="H57" s="3" t="s">
        <v>12</v>
      </c>
    </row>
    <row r="58" spans="1:8" x14ac:dyDescent="0.3">
      <c r="A58" s="73">
        <v>46160</v>
      </c>
      <c r="B58" s="1" t="s">
        <v>180</v>
      </c>
      <c r="C58" s="1" t="s">
        <v>8</v>
      </c>
      <c r="D58" s="1" t="s">
        <v>9</v>
      </c>
      <c r="E58" s="1" t="s">
        <v>10</v>
      </c>
      <c r="F58" s="1" t="s">
        <v>833</v>
      </c>
      <c r="G58" s="5">
        <v>195</v>
      </c>
      <c r="H58" s="3" t="s">
        <v>12</v>
      </c>
    </row>
    <row r="59" spans="1:8" x14ac:dyDescent="0.3">
      <c r="A59" s="73">
        <v>46160</v>
      </c>
      <c r="B59" s="1" t="s">
        <v>180</v>
      </c>
      <c r="C59" s="1" t="s">
        <v>102</v>
      </c>
      <c r="D59" s="1" t="s">
        <v>9</v>
      </c>
      <c r="E59" s="1" t="s">
        <v>10</v>
      </c>
      <c r="F59" s="1" t="s">
        <v>834</v>
      </c>
      <c r="G59" s="5">
        <v>263</v>
      </c>
      <c r="H59" s="3" t="s">
        <v>12</v>
      </c>
    </row>
    <row r="60" spans="1:8" x14ac:dyDescent="0.3">
      <c r="A60" s="73">
        <v>46160</v>
      </c>
      <c r="B60" s="1" t="s">
        <v>135</v>
      </c>
      <c r="C60" s="1" t="s">
        <v>20</v>
      </c>
      <c r="D60" s="1" t="s">
        <v>9</v>
      </c>
      <c r="E60" s="1" t="s">
        <v>10</v>
      </c>
      <c r="F60" s="1" t="s">
        <v>835</v>
      </c>
      <c r="G60" s="5">
        <v>43657.27</v>
      </c>
      <c r="H60" s="3" t="s">
        <v>12</v>
      </c>
    </row>
    <row r="61" spans="1:8" x14ac:dyDescent="0.3">
      <c r="A61" s="73">
        <v>46160</v>
      </c>
      <c r="B61" s="1" t="s">
        <v>55</v>
      </c>
      <c r="C61" s="1" t="s">
        <v>8</v>
      </c>
      <c r="D61" s="1" t="s">
        <v>9</v>
      </c>
      <c r="E61" s="1" t="s">
        <v>28</v>
      </c>
      <c r="F61" s="1" t="s">
        <v>836</v>
      </c>
      <c r="G61" s="5">
        <f>11495.25+1400</f>
        <v>12895.25</v>
      </c>
      <c r="H61" s="3" t="s">
        <v>12</v>
      </c>
    </row>
    <row r="62" spans="1:8" x14ac:dyDescent="0.3">
      <c r="A62" s="73">
        <v>46160</v>
      </c>
      <c r="B62" s="1" t="s">
        <v>255</v>
      </c>
      <c r="C62" s="1" t="s">
        <v>30</v>
      </c>
      <c r="D62" s="1" t="s">
        <v>9</v>
      </c>
      <c r="E62" s="1" t="s">
        <v>79</v>
      </c>
      <c r="F62" s="1" t="s">
        <v>837</v>
      </c>
      <c r="G62" s="5">
        <v>300</v>
      </c>
      <c r="H62" s="3" t="s">
        <v>12</v>
      </c>
    </row>
    <row r="63" spans="1:8" x14ac:dyDescent="0.3">
      <c r="A63" s="73">
        <v>46157</v>
      </c>
      <c r="B63" s="1" t="s">
        <v>13</v>
      </c>
      <c r="C63" s="1" t="s">
        <v>8</v>
      </c>
      <c r="D63" s="1" t="s">
        <v>9</v>
      </c>
      <c r="E63" s="1" t="s">
        <v>10</v>
      </c>
      <c r="F63" s="1" t="s">
        <v>838</v>
      </c>
      <c r="G63" s="5">
        <v>303.99</v>
      </c>
      <c r="H63" s="3" t="s">
        <v>12</v>
      </c>
    </row>
    <row r="64" spans="1:8" x14ac:dyDescent="0.3">
      <c r="A64" s="73">
        <v>46157</v>
      </c>
      <c r="B64" s="1" t="s">
        <v>15</v>
      </c>
      <c r="C64" s="1" t="s">
        <v>8</v>
      </c>
      <c r="D64" s="1" t="s">
        <v>9</v>
      </c>
      <c r="E64" s="1" t="s">
        <v>10</v>
      </c>
      <c r="F64" s="1" t="s">
        <v>839</v>
      </c>
      <c r="G64" s="5">
        <v>1134</v>
      </c>
      <c r="H64" s="3" t="s">
        <v>12</v>
      </c>
    </row>
    <row r="65" spans="1:8" x14ac:dyDescent="0.3">
      <c r="A65" s="73">
        <v>46157</v>
      </c>
      <c r="B65" s="1" t="s">
        <v>34</v>
      </c>
      <c r="C65" s="1" t="s">
        <v>8</v>
      </c>
      <c r="D65" s="1" t="s">
        <v>9</v>
      </c>
      <c r="E65" s="1" t="s">
        <v>10</v>
      </c>
      <c r="F65" s="1" t="s">
        <v>840</v>
      </c>
      <c r="G65" s="5">
        <v>432.17</v>
      </c>
      <c r="H65" s="3" t="s">
        <v>12</v>
      </c>
    </row>
    <row r="66" spans="1:8" x14ac:dyDescent="0.3">
      <c r="A66" s="73">
        <v>46157</v>
      </c>
      <c r="B66" s="1" t="s">
        <v>29</v>
      </c>
      <c r="C66" s="1" t="s">
        <v>30</v>
      </c>
      <c r="D66" s="1" t="s">
        <v>9</v>
      </c>
      <c r="E66" s="1" t="s">
        <v>28</v>
      </c>
      <c r="F66" s="1" t="s">
        <v>841</v>
      </c>
      <c r="G66" s="5">
        <v>9821</v>
      </c>
      <c r="H66" s="3" t="s">
        <v>12</v>
      </c>
    </row>
    <row r="67" spans="1:8" x14ac:dyDescent="0.3">
      <c r="A67" s="73">
        <v>46157</v>
      </c>
      <c r="B67" s="1" t="s">
        <v>453</v>
      </c>
      <c r="C67" s="1" t="s">
        <v>30</v>
      </c>
      <c r="D67" s="1" t="s">
        <v>9</v>
      </c>
      <c r="E67" s="1" t="s">
        <v>10</v>
      </c>
      <c r="F67" s="1" t="s">
        <v>842</v>
      </c>
      <c r="G67" s="5">
        <v>4000</v>
      </c>
      <c r="H67" s="3" t="s">
        <v>12</v>
      </c>
    </row>
    <row r="68" spans="1:8" x14ac:dyDescent="0.3">
      <c r="A68" s="73">
        <v>46157</v>
      </c>
      <c r="B68" s="1" t="s">
        <v>34</v>
      </c>
      <c r="C68" s="1" t="s">
        <v>8</v>
      </c>
      <c r="D68" s="1" t="s">
        <v>9</v>
      </c>
      <c r="E68" s="1" t="s">
        <v>10</v>
      </c>
      <c r="F68" s="1" t="s">
        <v>843</v>
      </c>
      <c r="G68" s="5">
        <v>1032.8599999999999</v>
      </c>
      <c r="H68" s="3" t="s">
        <v>12</v>
      </c>
    </row>
    <row r="69" spans="1:8" x14ac:dyDescent="0.3">
      <c r="A69" s="73">
        <v>46157</v>
      </c>
      <c r="B69" s="1" t="s">
        <v>17</v>
      </c>
      <c r="C69" s="1" t="s">
        <v>20</v>
      </c>
      <c r="D69" s="1" t="s">
        <v>9</v>
      </c>
      <c r="E69" s="1" t="s">
        <v>10</v>
      </c>
      <c r="F69" s="1" t="s">
        <v>844</v>
      </c>
      <c r="G69" s="5">
        <v>319.08</v>
      </c>
      <c r="H69" s="3" t="s">
        <v>12</v>
      </c>
    </row>
    <row r="70" spans="1:8" x14ac:dyDescent="0.3">
      <c r="A70" s="73">
        <v>46157</v>
      </c>
      <c r="B70" s="1" t="s">
        <v>50</v>
      </c>
      <c r="C70" s="1" t="s">
        <v>8</v>
      </c>
      <c r="D70" s="1" t="s">
        <v>9</v>
      </c>
      <c r="E70" s="1" t="s">
        <v>10</v>
      </c>
      <c r="F70" s="1" t="s">
        <v>845</v>
      </c>
      <c r="G70" s="5">
        <v>132</v>
      </c>
      <c r="H70" s="3" t="s">
        <v>12</v>
      </c>
    </row>
    <row r="71" spans="1:8" x14ac:dyDescent="0.3">
      <c r="A71" s="73">
        <v>46157</v>
      </c>
      <c r="B71" s="1" t="s">
        <v>34</v>
      </c>
      <c r="C71" s="1" t="s">
        <v>8</v>
      </c>
      <c r="D71" s="1" t="s">
        <v>9</v>
      </c>
      <c r="E71" s="1" t="s">
        <v>10</v>
      </c>
      <c r="F71" s="1" t="s">
        <v>846</v>
      </c>
      <c r="G71" s="5">
        <v>500</v>
      </c>
      <c r="H71" s="3" t="s">
        <v>12</v>
      </c>
    </row>
    <row r="72" spans="1:8" x14ac:dyDescent="0.3">
      <c r="A72" s="73">
        <v>46157</v>
      </c>
      <c r="B72" s="1" t="s">
        <v>34</v>
      </c>
      <c r="C72" s="1" t="s">
        <v>102</v>
      </c>
      <c r="D72" s="1" t="s">
        <v>9</v>
      </c>
      <c r="E72" s="1" t="s">
        <v>10</v>
      </c>
      <c r="F72" s="1" t="s">
        <v>847</v>
      </c>
      <c r="G72" s="5">
        <v>700</v>
      </c>
      <c r="H72" s="3" t="s">
        <v>12</v>
      </c>
    </row>
    <row r="73" spans="1:8" x14ac:dyDescent="0.3">
      <c r="A73" s="73">
        <v>46157</v>
      </c>
      <c r="B73" s="1" t="s">
        <v>25</v>
      </c>
      <c r="C73" s="1" t="s">
        <v>20</v>
      </c>
      <c r="D73" s="1" t="s">
        <v>9</v>
      </c>
      <c r="E73" s="1" t="s">
        <v>26</v>
      </c>
      <c r="F73" s="1" t="s">
        <v>848</v>
      </c>
      <c r="G73" s="5">
        <v>141358.65</v>
      </c>
      <c r="H73" s="3" t="s">
        <v>12</v>
      </c>
    </row>
    <row r="74" spans="1:8" x14ac:dyDescent="0.3">
      <c r="A74" s="73">
        <v>46157</v>
      </c>
      <c r="B74" s="1" t="s">
        <v>25</v>
      </c>
      <c r="C74" s="1" t="s">
        <v>20</v>
      </c>
      <c r="D74" s="1" t="s">
        <v>9</v>
      </c>
      <c r="E74" s="1" t="s">
        <v>28</v>
      </c>
      <c r="F74" s="1" t="s">
        <v>848</v>
      </c>
      <c r="G74" s="5">
        <v>7845.7</v>
      </c>
      <c r="H74" s="3" t="s">
        <v>12</v>
      </c>
    </row>
    <row r="75" spans="1:8" x14ac:dyDescent="0.3">
      <c r="A75" s="73">
        <v>46157</v>
      </c>
      <c r="B75" s="1" t="s">
        <v>218</v>
      </c>
      <c r="C75" s="1" t="s">
        <v>8</v>
      </c>
      <c r="D75" s="1" t="s">
        <v>9</v>
      </c>
      <c r="E75" s="1" t="s">
        <v>28</v>
      </c>
      <c r="F75" s="1" t="s">
        <v>849</v>
      </c>
      <c r="G75" s="5">
        <v>490.5</v>
      </c>
      <c r="H75" s="3" t="s">
        <v>12</v>
      </c>
    </row>
    <row r="76" spans="1:8" x14ac:dyDescent="0.3">
      <c r="A76" s="73">
        <v>46157</v>
      </c>
      <c r="B76" s="1" t="s">
        <v>218</v>
      </c>
      <c r="C76" s="1" t="s">
        <v>102</v>
      </c>
      <c r="D76" s="1" t="s">
        <v>9</v>
      </c>
      <c r="E76" s="1" t="s">
        <v>10</v>
      </c>
      <c r="F76" s="1" t="s">
        <v>849</v>
      </c>
      <c r="G76" s="5">
        <v>1005.05</v>
      </c>
      <c r="H76" s="3" t="s">
        <v>12</v>
      </c>
    </row>
    <row r="77" spans="1:8" x14ac:dyDescent="0.3">
      <c r="A77" s="73">
        <v>46156</v>
      </c>
      <c r="B77" s="1" t="s">
        <v>55</v>
      </c>
      <c r="C77" s="1" t="s">
        <v>8</v>
      </c>
      <c r="D77" s="1" t="s">
        <v>9</v>
      </c>
      <c r="E77" s="1" t="s">
        <v>10</v>
      </c>
      <c r="F77" s="1" t="s">
        <v>850</v>
      </c>
      <c r="G77" s="5">
        <v>1275.74</v>
      </c>
      <c r="H77" s="3" t="s">
        <v>12</v>
      </c>
    </row>
    <row r="78" spans="1:8" x14ac:dyDescent="0.3">
      <c r="A78" s="73">
        <v>46155</v>
      </c>
      <c r="B78" s="1" t="s">
        <v>218</v>
      </c>
      <c r="C78" s="1" t="s">
        <v>8</v>
      </c>
      <c r="D78" s="1" t="s">
        <v>9</v>
      </c>
      <c r="E78" s="1" t="s">
        <v>28</v>
      </c>
      <c r="F78" s="1" t="s">
        <v>851</v>
      </c>
      <c r="G78" s="5">
        <v>65</v>
      </c>
      <c r="H78" s="3" t="s">
        <v>12</v>
      </c>
    </row>
    <row r="79" spans="1:8" x14ac:dyDescent="0.3">
      <c r="A79" s="73">
        <v>46155</v>
      </c>
      <c r="B79" s="1" t="s">
        <v>50</v>
      </c>
      <c r="C79" s="1" t="s">
        <v>30</v>
      </c>
      <c r="D79" s="1" t="s">
        <v>9</v>
      </c>
      <c r="E79" s="1" t="s">
        <v>28</v>
      </c>
      <c r="F79" s="1" t="s">
        <v>852</v>
      </c>
      <c r="G79" s="5">
        <v>93</v>
      </c>
      <c r="H79" s="3" t="s">
        <v>12</v>
      </c>
    </row>
    <row r="80" spans="1:8" x14ac:dyDescent="0.3">
      <c r="A80" s="73">
        <v>46155</v>
      </c>
      <c r="B80" s="1" t="s">
        <v>79</v>
      </c>
      <c r="C80" s="1" t="s">
        <v>30</v>
      </c>
      <c r="D80" s="1" t="s">
        <v>9</v>
      </c>
      <c r="E80" s="1" t="s">
        <v>28</v>
      </c>
      <c r="F80" s="1" t="s">
        <v>853</v>
      </c>
      <c r="G80" s="5">
        <v>345.6</v>
      </c>
      <c r="H80" s="3" t="s">
        <v>12</v>
      </c>
    </row>
    <row r="81" spans="1:8" x14ac:dyDescent="0.3">
      <c r="A81" s="73">
        <v>46155</v>
      </c>
      <c r="B81" s="1" t="s">
        <v>34</v>
      </c>
      <c r="C81" s="1" t="s">
        <v>8</v>
      </c>
      <c r="D81" s="1" t="s">
        <v>9</v>
      </c>
      <c r="E81" s="1" t="s">
        <v>10</v>
      </c>
      <c r="F81" s="1" t="s">
        <v>854</v>
      </c>
      <c r="G81" s="5">
        <v>1000</v>
      </c>
      <c r="H81" s="3" t="s">
        <v>12</v>
      </c>
    </row>
    <row r="82" spans="1:8" x14ac:dyDescent="0.3">
      <c r="A82" s="73">
        <v>46155</v>
      </c>
      <c r="B82" s="1" t="s">
        <v>55</v>
      </c>
      <c r="C82" s="1" t="s">
        <v>8</v>
      </c>
      <c r="D82" s="1" t="s">
        <v>9</v>
      </c>
      <c r="E82" s="1" t="s">
        <v>10</v>
      </c>
      <c r="F82" s="1" t="s">
        <v>855</v>
      </c>
      <c r="G82" s="5">
        <v>1126.48</v>
      </c>
      <c r="H82" s="3" t="s">
        <v>12</v>
      </c>
    </row>
    <row r="83" spans="1:8" x14ac:dyDescent="0.3">
      <c r="A83" s="73">
        <v>46155</v>
      </c>
      <c r="B83" s="1" t="s">
        <v>79</v>
      </c>
      <c r="C83" s="1" t="s">
        <v>8</v>
      </c>
      <c r="D83" s="1" t="s">
        <v>9</v>
      </c>
      <c r="E83" s="1" t="s">
        <v>10</v>
      </c>
      <c r="F83" s="1" t="s">
        <v>856</v>
      </c>
      <c r="G83" s="5">
        <v>385</v>
      </c>
      <c r="H83" s="3" t="s">
        <v>12</v>
      </c>
    </row>
    <row r="84" spans="1:8" x14ac:dyDescent="0.3">
      <c r="A84" s="73">
        <v>46155</v>
      </c>
      <c r="B84" s="1" t="s">
        <v>13</v>
      </c>
      <c r="C84" s="1" t="s">
        <v>8</v>
      </c>
      <c r="D84" s="1" t="s">
        <v>9</v>
      </c>
      <c r="E84" s="1" t="s">
        <v>10</v>
      </c>
      <c r="F84" s="1" t="s">
        <v>857</v>
      </c>
      <c r="G84" s="5">
        <v>1283.04</v>
      </c>
      <c r="H84" s="3" t="s">
        <v>12</v>
      </c>
    </row>
    <row r="85" spans="1:8" x14ac:dyDescent="0.3">
      <c r="A85" s="73">
        <v>46154</v>
      </c>
      <c r="B85" s="1" t="s">
        <v>79</v>
      </c>
      <c r="C85" s="1" t="s">
        <v>30</v>
      </c>
      <c r="D85" s="1" t="s">
        <v>9</v>
      </c>
      <c r="E85" s="1" t="s">
        <v>10</v>
      </c>
      <c r="F85" s="1" t="s">
        <v>858</v>
      </c>
      <c r="G85" s="5">
        <v>92</v>
      </c>
      <c r="H85" s="3" t="s">
        <v>12</v>
      </c>
    </row>
    <row r="86" spans="1:8" x14ac:dyDescent="0.3">
      <c r="A86" s="73">
        <v>46154</v>
      </c>
      <c r="B86" s="1" t="s">
        <v>79</v>
      </c>
      <c r="C86" s="1" t="s">
        <v>30</v>
      </c>
      <c r="D86" s="1" t="s">
        <v>9</v>
      </c>
      <c r="E86" s="1" t="s">
        <v>10</v>
      </c>
      <c r="F86" s="1" t="s">
        <v>859</v>
      </c>
      <c r="G86" s="5">
        <v>48</v>
      </c>
      <c r="H86" s="3" t="s">
        <v>12</v>
      </c>
    </row>
    <row r="87" spans="1:8" x14ac:dyDescent="0.3">
      <c r="A87" s="73">
        <v>46154</v>
      </c>
      <c r="B87" s="1" t="s">
        <v>81</v>
      </c>
      <c r="C87" s="1" t="s">
        <v>30</v>
      </c>
      <c r="D87" s="1" t="s">
        <v>9</v>
      </c>
      <c r="E87" s="1" t="s">
        <v>10</v>
      </c>
      <c r="F87" s="1" t="s">
        <v>860</v>
      </c>
      <c r="G87" s="5">
        <v>51</v>
      </c>
      <c r="H87" s="3" t="s">
        <v>12</v>
      </c>
    </row>
    <row r="88" spans="1:8" x14ac:dyDescent="0.3">
      <c r="A88" s="73">
        <v>46154</v>
      </c>
      <c r="B88" s="1" t="s">
        <v>169</v>
      </c>
      <c r="C88" s="1" t="s">
        <v>8</v>
      </c>
      <c r="D88" s="1" t="s">
        <v>9</v>
      </c>
      <c r="E88" s="1" t="s">
        <v>10</v>
      </c>
      <c r="F88" s="1" t="s">
        <v>861</v>
      </c>
      <c r="G88" s="5">
        <v>1342.12</v>
      </c>
      <c r="H88" s="3" t="s">
        <v>12</v>
      </c>
    </row>
    <row r="89" spans="1:8" x14ac:dyDescent="0.3">
      <c r="A89" s="73">
        <v>46153</v>
      </c>
      <c r="B89" s="1" t="s">
        <v>89</v>
      </c>
      <c r="C89" s="1" t="s">
        <v>8</v>
      </c>
      <c r="D89" s="1" t="s">
        <v>9</v>
      </c>
      <c r="E89" s="1" t="s">
        <v>10</v>
      </c>
      <c r="F89" s="1" t="s">
        <v>862</v>
      </c>
      <c r="G89" s="5">
        <v>43</v>
      </c>
      <c r="H89" s="3" t="s">
        <v>12</v>
      </c>
    </row>
    <row r="90" spans="1:8" x14ac:dyDescent="0.3">
      <c r="A90" s="73">
        <v>46153</v>
      </c>
      <c r="B90" s="1" t="s">
        <v>163</v>
      </c>
      <c r="C90" s="1" t="s">
        <v>8</v>
      </c>
      <c r="D90" s="1" t="s">
        <v>9</v>
      </c>
      <c r="E90" s="1" t="s">
        <v>10</v>
      </c>
      <c r="F90" s="1" t="s">
        <v>863</v>
      </c>
      <c r="G90" s="5">
        <v>69.599999999999994</v>
      </c>
      <c r="H90" s="3" t="s">
        <v>12</v>
      </c>
    </row>
    <row r="91" spans="1:8" x14ac:dyDescent="0.3">
      <c r="A91" s="73">
        <v>46153</v>
      </c>
      <c r="B91" s="1" t="s">
        <v>79</v>
      </c>
      <c r="C91" s="1" t="s">
        <v>8</v>
      </c>
      <c r="D91" s="1" t="s">
        <v>9</v>
      </c>
      <c r="E91" s="1" t="s">
        <v>10</v>
      </c>
      <c r="F91" s="1" t="s">
        <v>864</v>
      </c>
      <c r="G91" s="5">
        <v>2667.01</v>
      </c>
      <c r="H91" s="3" t="s">
        <v>12</v>
      </c>
    </row>
    <row r="92" spans="1:8" x14ac:dyDescent="0.3">
      <c r="A92" s="73">
        <v>46153</v>
      </c>
      <c r="B92" s="1" t="s">
        <v>19</v>
      </c>
      <c r="C92" s="1" t="s">
        <v>102</v>
      </c>
      <c r="D92" s="1" t="s">
        <v>9</v>
      </c>
      <c r="E92" s="1" t="s">
        <v>10</v>
      </c>
      <c r="F92" s="1" t="s">
        <v>865</v>
      </c>
      <c r="G92" s="5">
        <v>1499</v>
      </c>
      <c r="H92" s="3" t="s">
        <v>12</v>
      </c>
    </row>
    <row r="93" spans="1:8" x14ac:dyDescent="0.3">
      <c r="A93" s="73">
        <v>46151</v>
      </c>
      <c r="B93" s="1" t="s">
        <v>45</v>
      </c>
      <c r="C93" s="1" t="s">
        <v>8</v>
      </c>
      <c r="D93" s="1" t="s">
        <v>9</v>
      </c>
      <c r="E93" s="1" t="s">
        <v>10</v>
      </c>
      <c r="F93" s="1" t="s">
        <v>236</v>
      </c>
      <c r="G93" s="5">
        <v>769.45</v>
      </c>
      <c r="H93" s="3" t="s">
        <v>12</v>
      </c>
    </row>
    <row r="94" spans="1:8" x14ac:dyDescent="0.3">
      <c r="A94" s="73">
        <v>46151</v>
      </c>
      <c r="B94" s="1" t="s">
        <v>29</v>
      </c>
      <c r="C94" s="1" t="s">
        <v>102</v>
      </c>
      <c r="D94" s="1" t="s">
        <v>9</v>
      </c>
      <c r="E94" s="1" t="s">
        <v>10</v>
      </c>
      <c r="F94" s="1" t="s">
        <v>866</v>
      </c>
      <c r="G94" s="5">
        <v>955</v>
      </c>
      <c r="H94" s="3" t="s">
        <v>12</v>
      </c>
    </row>
    <row r="95" spans="1:8" x14ac:dyDescent="0.3">
      <c r="A95" s="73">
        <v>46150</v>
      </c>
      <c r="B95" s="1" t="s">
        <v>25</v>
      </c>
      <c r="C95" s="1" t="s">
        <v>20</v>
      </c>
      <c r="D95" s="1" t="s">
        <v>9</v>
      </c>
      <c r="E95" s="1" t="s">
        <v>28</v>
      </c>
      <c r="F95" s="1" t="s">
        <v>867</v>
      </c>
      <c r="G95" s="5">
        <v>7845.7</v>
      </c>
      <c r="H95" s="3" t="s">
        <v>12</v>
      </c>
    </row>
    <row r="96" spans="1:8" x14ac:dyDescent="0.3">
      <c r="A96" s="73">
        <v>46150</v>
      </c>
      <c r="B96" s="1" t="s">
        <v>25</v>
      </c>
      <c r="C96" s="1" t="s">
        <v>20</v>
      </c>
      <c r="D96" s="1" t="s">
        <v>9</v>
      </c>
      <c r="E96" s="1" t="s">
        <v>26</v>
      </c>
      <c r="F96" s="1" t="s">
        <v>867</v>
      </c>
      <c r="G96" s="5">
        <v>142380.54999999999</v>
      </c>
      <c r="H96" s="3" t="s">
        <v>12</v>
      </c>
    </row>
    <row r="97" spans="1:8" x14ac:dyDescent="0.3">
      <c r="A97" s="73">
        <v>46149</v>
      </c>
      <c r="B97" s="1" t="s">
        <v>34</v>
      </c>
      <c r="C97" s="1" t="s">
        <v>8</v>
      </c>
      <c r="D97" s="1" t="s">
        <v>9</v>
      </c>
      <c r="E97" s="1" t="s">
        <v>10</v>
      </c>
      <c r="F97" s="1" t="s">
        <v>868</v>
      </c>
      <c r="G97" s="5">
        <v>1000</v>
      </c>
      <c r="H97" s="3" t="s">
        <v>12</v>
      </c>
    </row>
    <row r="98" spans="1:8" x14ac:dyDescent="0.3">
      <c r="A98" s="73">
        <v>46149</v>
      </c>
      <c r="B98" s="1" t="s">
        <v>17</v>
      </c>
      <c r="C98" s="1" t="s">
        <v>8</v>
      </c>
      <c r="D98" s="1" t="s">
        <v>9</v>
      </c>
      <c r="E98" s="1" t="s">
        <v>10</v>
      </c>
      <c r="F98" s="1" t="s">
        <v>869</v>
      </c>
      <c r="G98" s="5">
        <v>336.43</v>
      </c>
      <c r="H98" s="3" t="s">
        <v>12</v>
      </c>
    </row>
    <row r="99" spans="1:8" x14ac:dyDescent="0.3">
      <c r="A99" s="73">
        <v>46149</v>
      </c>
      <c r="B99" s="1" t="s">
        <v>34</v>
      </c>
      <c r="C99" s="1" t="s">
        <v>8</v>
      </c>
      <c r="D99" s="1" t="s">
        <v>9</v>
      </c>
      <c r="E99" s="1" t="s">
        <v>10</v>
      </c>
      <c r="F99" s="1" t="s">
        <v>870</v>
      </c>
      <c r="G99" s="5">
        <v>929.6</v>
      </c>
      <c r="H99" s="3" t="s">
        <v>12</v>
      </c>
    </row>
    <row r="100" spans="1:8" x14ac:dyDescent="0.3">
      <c r="A100" s="73">
        <v>46149</v>
      </c>
      <c r="B100" s="1" t="s">
        <v>34</v>
      </c>
      <c r="C100" s="1" t="s">
        <v>8</v>
      </c>
      <c r="D100" s="1" t="s">
        <v>9</v>
      </c>
      <c r="E100" s="1" t="s">
        <v>10</v>
      </c>
      <c r="F100" s="1" t="s">
        <v>871</v>
      </c>
      <c r="G100" s="5">
        <v>1000</v>
      </c>
      <c r="H100" s="3" t="s">
        <v>12</v>
      </c>
    </row>
    <row r="101" spans="1:8" x14ac:dyDescent="0.3">
      <c r="A101" s="73">
        <v>46149</v>
      </c>
      <c r="B101" s="1" t="s">
        <v>34</v>
      </c>
      <c r="C101" s="1" t="s">
        <v>8</v>
      </c>
      <c r="D101" s="1" t="s">
        <v>9</v>
      </c>
      <c r="E101" s="1" t="s">
        <v>10</v>
      </c>
      <c r="F101" s="1" t="s">
        <v>872</v>
      </c>
      <c r="G101" s="5">
        <v>729.82</v>
      </c>
      <c r="H101" s="3" t="s">
        <v>12</v>
      </c>
    </row>
    <row r="102" spans="1:8" x14ac:dyDescent="0.3">
      <c r="A102" s="73">
        <v>46148</v>
      </c>
      <c r="B102" s="1" t="s">
        <v>50</v>
      </c>
      <c r="C102" s="1" t="s">
        <v>30</v>
      </c>
      <c r="D102" s="1" t="s">
        <v>9</v>
      </c>
      <c r="E102" s="1" t="s">
        <v>28</v>
      </c>
      <c r="F102" s="1" t="s">
        <v>873</v>
      </c>
      <c r="G102" s="5">
        <v>93</v>
      </c>
      <c r="H102" s="3" t="s">
        <v>12</v>
      </c>
    </row>
    <row r="103" spans="1:8" x14ac:dyDescent="0.3">
      <c r="A103" s="73">
        <v>46148</v>
      </c>
      <c r="B103" s="1" t="s">
        <v>13</v>
      </c>
      <c r="C103" s="1" t="s">
        <v>8</v>
      </c>
      <c r="D103" s="1" t="s">
        <v>9</v>
      </c>
      <c r="E103" s="1" t="s">
        <v>10</v>
      </c>
      <c r="F103" s="1" t="s">
        <v>874</v>
      </c>
      <c r="G103" s="5">
        <v>8420</v>
      </c>
      <c r="H103" s="3" t="s">
        <v>12</v>
      </c>
    </row>
    <row r="104" spans="1:8" x14ac:dyDescent="0.3">
      <c r="A104" s="73">
        <v>46147</v>
      </c>
      <c r="B104" s="1" t="s">
        <v>45</v>
      </c>
      <c r="C104" s="1" t="s">
        <v>8</v>
      </c>
      <c r="D104" s="1" t="s">
        <v>9</v>
      </c>
      <c r="E104" s="1" t="s">
        <v>10</v>
      </c>
      <c r="F104" s="1" t="s">
        <v>423</v>
      </c>
      <c r="G104" s="5">
        <v>1974.6</v>
      </c>
      <c r="H104" s="3" t="s">
        <v>12</v>
      </c>
    </row>
    <row r="105" spans="1:8" x14ac:dyDescent="0.3">
      <c r="A105" s="73">
        <v>46147</v>
      </c>
      <c r="B105" s="1" t="s">
        <v>55</v>
      </c>
      <c r="C105" s="1" t="s">
        <v>8</v>
      </c>
      <c r="D105" s="1" t="s">
        <v>9</v>
      </c>
      <c r="E105" s="1" t="s">
        <v>10</v>
      </c>
      <c r="F105" s="1" t="s">
        <v>875</v>
      </c>
      <c r="G105" s="5">
        <v>25000</v>
      </c>
      <c r="H105" s="3" t="s">
        <v>12</v>
      </c>
    </row>
    <row r="106" spans="1:8" x14ac:dyDescent="0.3">
      <c r="A106" s="73">
        <v>46147</v>
      </c>
      <c r="B106" s="1" t="s">
        <v>226</v>
      </c>
      <c r="C106" s="1" t="s">
        <v>8</v>
      </c>
      <c r="D106" s="1" t="s">
        <v>9</v>
      </c>
      <c r="E106" s="1" t="s">
        <v>10</v>
      </c>
      <c r="F106" s="1" t="s">
        <v>876</v>
      </c>
      <c r="G106" s="5">
        <v>9321.2000000000007</v>
      </c>
      <c r="H106" s="3" t="s">
        <v>12</v>
      </c>
    </row>
    <row r="107" spans="1:8" x14ac:dyDescent="0.3">
      <c r="A107" s="73">
        <v>46147</v>
      </c>
      <c r="B107" s="1" t="s">
        <v>226</v>
      </c>
      <c r="C107" s="1" t="s">
        <v>20</v>
      </c>
      <c r="D107" s="1" t="s">
        <v>9</v>
      </c>
      <c r="E107" s="1" t="s">
        <v>10</v>
      </c>
      <c r="F107" s="1" t="s">
        <v>877</v>
      </c>
      <c r="G107" s="5">
        <v>23831.37</v>
      </c>
      <c r="H107" s="3" t="s">
        <v>12</v>
      </c>
    </row>
    <row r="108" spans="1:8" x14ac:dyDescent="0.3">
      <c r="A108" s="73">
        <v>46147</v>
      </c>
      <c r="B108" s="1" t="s">
        <v>226</v>
      </c>
      <c r="C108" s="1" t="s">
        <v>20</v>
      </c>
      <c r="D108" s="1" t="s">
        <v>9</v>
      </c>
      <c r="E108" s="1" t="s">
        <v>10</v>
      </c>
      <c r="F108" s="1" t="s">
        <v>878</v>
      </c>
      <c r="G108" s="5">
        <v>44820.800000000003</v>
      </c>
      <c r="H108" s="3" t="s">
        <v>12</v>
      </c>
    </row>
    <row r="109" spans="1:8" x14ac:dyDescent="0.3">
      <c r="A109" s="73">
        <v>46147</v>
      </c>
      <c r="B109" s="1" t="s">
        <v>34</v>
      </c>
      <c r="C109" s="1" t="s">
        <v>8</v>
      </c>
      <c r="D109" s="1" t="s">
        <v>9</v>
      </c>
      <c r="E109" s="1" t="s">
        <v>10</v>
      </c>
      <c r="F109" s="1" t="s">
        <v>879</v>
      </c>
      <c r="G109" s="5">
        <v>1455.85</v>
      </c>
      <c r="H109" s="3" t="s">
        <v>12</v>
      </c>
    </row>
    <row r="110" spans="1:8" x14ac:dyDescent="0.3">
      <c r="A110" s="73">
        <v>46147</v>
      </c>
      <c r="B110" s="1" t="s">
        <v>34</v>
      </c>
      <c r="C110" s="1" t="s">
        <v>8</v>
      </c>
      <c r="D110" s="1" t="s">
        <v>9</v>
      </c>
      <c r="E110" s="1" t="s">
        <v>10</v>
      </c>
      <c r="F110" s="1" t="s">
        <v>880</v>
      </c>
      <c r="G110" s="5">
        <v>1294.1199999999999</v>
      </c>
      <c r="H110" s="3" t="s">
        <v>12</v>
      </c>
    </row>
    <row r="111" spans="1:8" x14ac:dyDescent="0.3">
      <c r="A111" s="73">
        <v>46146</v>
      </c>
      <c r="B111" s="1" t="s">
        <v>79</v>
      </c>
      <c r="C111" s="1" t="s">
        <v>30</v>
      </c>
      <c r="D111" s="1" t="s">
        <v>9</v>
      </c>
      <c r="E111" s="1" t="s">
        <v>79</v>
      </c>
      <c r="F111" s="1" t="s">
        <v>881</v>
      </c>
      <c r="G111" s="5">
        <v>3500</v>
      </c>
      <c r="H111" s="3" t="s">
        <v>12</v>
      </c>
    </row>
    <row r="112" spans="1:8" x14ac:dyDescent="0.3">
      <c r="A112" s="73">
        <v>46146</v>
      </c>
      <c r="B112" s="1" t="s">
        <v>34</v>
      </c>
      <c r="C112" s="1" t="s">
        <v>8</v>
      </c>
      <c r="D112" s="1" t="s">
        <v>9</v>
      </c>
      <c r="E112" s="1" t="s">
        <v>10</v>
      </c>
      <c r="F112" s="1" t="s">
        <v>882</v>
      </c>
      <c r="G112" s="5">
        <v>1668.03</v>
      </c>
      <c r="H112" s="3" t="s">
        <v>12</v>
      </c>
    </row>
    <row r="113" spans="1:9" x14ac:dyDescent="0.3">
      <c r="A113" s="73">
        <v>46146</v>
      </c>
      <c r="B113" s="1" t="s">
        <v>34</v>
      </c>
      <c r="C113" s="1" t="s">
        <v>8</v>
      </c>
      <c r="D113" s="1" t="s">
        <v>9</v>
      </c>
      <c r="E113" s="1" t="s">
        <v>10</v>
      </c>
      <c r="F113" s="1" t="s">
        <v>883</v>
      </c>
      <c r="G113" s="5">
        <v>1442.56</v>
      </c>
      <c r="H113" s="3" t="s">
        <v>12</v>
      </c>
    </row>
    <row r="114" spans="1:9" x14ac:dyDescent="0.3">
      <c r="A114" s="73">
        <v>46146</v>
      </c>
      <c r="B114" s="1" t="s">
        <v>79</v>
      </c>
      <c r="C114" s="1" t="s">
        <v>8</v>
      </c>
      <c r="D114" s="1" t="s">
        <v>9</v>
      </c>
      <c r="E114" s="1" t="s">
        <v>10</v>
      </c>
      <c r="F114" s="1" t="s">
        <v>884</v>
      </c>
      <c r="G114" s="5">
        <v>1803</v>
      </c>
      <c r="H114" s="3" t="s">
        <v>12</v>
      </c>
    </row>
    <row r="115" spans="1:9" x14ac:dyDescent="0.3">
      <c r="A115" s="73">
        <v>46146</v>
      </c>
      <c r="B115" s="1" t="s">
        <v>29</v>
      </c>
      <c r="C115" s="1" t="s">
        <v>20</v>
      </c>
      <c r="D115" s="1" t="s">
        <v>23</v>
      </c>
      <c r="E115" s="1" t="s">
        <v>10</v>
      </c>
      <c r="F115" s="1" t="s">
        <v>885</v>
      </c>
      <c r="G115" s="5">
        <v>2612</v>
      </c>
      <c r="H115" s="3" t="s">
        <v>12</v>
      </c>
    </row>
    <row r="116" spans="1:9" x14ac:dyDescent="0.3">
      <c r="A116" s="73">
        <v>46146</v>
      </c>
      <c r="B116" s="1" t="s">
        <v>154</v>
      </c>
      <c r="C116" s="1" t="s">
        <v>20</v>
      </c>
      <c r="D116" s="1" t="s">
        <v>9</v>
      </c>
      <c r="E116" s="1" t="s">
        <v>10</v>
      </c>
      <c r="F116" s="1" t="s">
        <v>886</v>
      </c>
      <c r="G116" s="5">
        <v>16028.38</v>
      </c>
      <c r="H116" s="3" t="s">
        <v>12</v>
      </c>
    </row>
    <row r="117" spans="1:9" x14ac:dyDescent="0.3">
      <c r="A117" s="73">
        <v>46146</v>
      </c>
      <c r="B117" s="1" t="s">
        <v>226</v>
      </c>
      <c r="C117" s="1" t="s">
        <v>20</v>
      </c>
      <c r="D117" s="1" t="s">
        <v>9</v>
      </c>
      <c r="E117" s="1" t="s">
        <v>10</v>
      </c>
      <c r="F117" s="1" t="s">
        <v>887</v>
      </c>
      <c r="G117" s="5">
        <v>9827.4500000000007</v>
      </c>
      <c r="H117" s="3" t="s">
        <v>12</v>
      </c>
    </row>
    <row r="118" spans="1:9" x14ac:dyDescent="0.3">
      <c r="A118" s="73">
        <v>46145</v>
      </c>
      <c r="B118" s="1" t="s">
        <v>13</v>
      </c>
      <c r="C118" s="1" t="s">
        <v>8</v>
      </c>
      <c r="D118" s="1" t="s">
        <v>9</v>
      </c>
      <c r="E118" s="1" t="s">
        <v>10</v>
      </c>
      <c r="F118" s="1" t="s">
        <v>888</v>
      </c>
      <c r="G118" s="5">
        <v>300</v>
      </c>
      <c r="H118" s="3" t="s">
        <v>12</v>
      </c>
    </row>
    <row r="119" spans="1:9" x14ac:dyDescent="0.3">
      <c r="A119" s="73">
        <v>46144</v>
      </c>
      <c r="B119" s="1" t="s">
        <v>226</v>
      </c>
      <c r="C119" s="1" t="s">
        <v>633</v>
      </c>
      <c r="D119" s="1" t="s">
        <v>9</v>
      </c>
      <c r="E119" s="1" t="s">
        <v>10</v>
      </c>
      <c r="F119" s="1" t="s">
        <v>620</v>
      </c>
      <c r="G119" s="5">
        <v>3223.36</v>
      </c>
      <c r="H119" s="3" t="s">
        <v>12</v>
      </c>
    </row>
    <row r="120" spans="1:9" x14ac:dyDescent="0.3">
      <c r="A120" s="73">
        <v>46143</v>
      </c>
      <c r="B120" s="1" t="s">
        <v>25</v>
      </c>
      <c r="C120" s="1" t="s">
        <v>20</v>
      </c>
      <c r="D120" s="1" t="s">
        <v>9</v>
      </c>
      <c r="E120" s="1" t="s">
        <v>26</v>
      </c>
      <c r="F120" s="1" t="s">
        <v>889</v>
      </c>
      <c r="G120" s="5">
        <v>143492.67000000001</v>
      </c>
      <c r="H120" s="3" t="s">
        <v>12</v>
      </c>
    </row>
    <row r="121" spans="1:9" x14ac:dyDescent="0.3">
      <c r="A121" s="73">
        <v>46143</v>
      </c>
      <c r="B121" s="1" t="s">
        <v>25</v>
      </c>
      <c r="C121" s="1" t="s">
        <v>20</v>
      </c>
      <c r="D121" s="1" t="s">
        <v>9</v>
      </c>
      <c r="E121" s="1" t="s">
        <v>28</v>
      </c>
      <c r="F121" s="1" t="s">
        <v>889</v>
      </c>
      <c r="G121" s="5">
        <v>7845.7</v>
      </c>
      <c r="H121" s="3" t="s">
        <v>12</v>
      </c>
    </row>
    <row r="122" spans="1:9" x14ac:dyDescent="0.3">
      <c r="A122" s="73">
        <v>46143</v>
      </c>
      <c r="B122" s="1" t="s">
        <v>45</v>
      </c>
      <c r="C122" s="1" t="s">
        <v>8</v>
      </c>
      <c r="D122" s="1" t="s">
        <v>9</v>
      </c>
      <c r="E122" s="1" t="s">
        <v>10</v>
      </c>
      <c r="F122" s="1" t="s">
        <v>46</v>
      </c>
      <c r="G122" s="5">
        <v>6727.19</v>
      </c>
      <c r="H122" s="3" t="s">
        <v>12</v>
      </c>
    </row>
    <row r="123" spans="1:9" x14ac:dyDescent="0.3">
      <c r="A123" s="73">
        <v>46143</v>
      </c>
      <c r="B123" s="1" t="s">
        <v>45</v>
      </c>
      <c r="C123" s="1" t="s">
        <v>8</v>
      </c>
      <c r="D123" s="1" t="s">
        <v>9</v>
      </c>
      <c r="E123" s="1" t="s">
        <v>10</v>
      </c>
      <c r="F123" s="1" t="s">
        <v>236</v>
      </c>
      <c r="G123" s="5">
        <v>1284.97</v>
      </c>
      <c r="H123" s="3" t="s">
        <v>12</v>
      </c>
    </row>
    <row r="124" spans="1:9" x14ac:dyDescent="0.3">
      <c r="A124" s="73">
        <v>46143</v>
      </c>
      <c r="B124" s="1" t="s">
        <v>45</v>
      </c>
      <c r="C124" s="1" t="s">
        <v>8</v>
      </c>
      <c r="D124" s="1" t="s">
        <v>9</v>
      </c>
      <c r="E124" s="1" t="s">
        <v>10</v>
      </c>
      <c r="F124" s="1" t="s">
        <v>236</v>
      </c>
      <c r="G124" s="5">
        <v>1552.42</v>
      </c>
      <c r="H124" s="3" t="s">
        <v>12</v>
      </c>
    </row>
    <row r="125" spans="1:9" x14ac:dyDescent="0.3">
      <c r="G125" s="65">
        <f>SUBTOTAL(9,G2:G124)</f>
        <v>1267403.3099999998</v>
      </c>
      <c r="I125" t="s">
        <v>891</v>
      </c>
    </row>
    <row r="126" spans="1:9" x14ac:dyDescent="0.3">
      <c r="I126" t="s">
        <v>892</v>
      </c>
    </row>
  </sheetData>
  <autoFilter ref="A1:H126" xr:uid="{E63710A9-E1A2-43C9-86C5-44689CEDB401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058D6-F266-44D1-808F-6288D80BAA3C}">
  <dimension ref="A1:H145"/>
  <sheetViews>
    <sheetView workbookViewId="0">
      <selection activeCell="A9" sqref="A9:H10"/>
    </sheetView>
  </sheetViews>
  <sheetFormatPr baseColWidth="10" defaultRowHeight="14.4" x14ac:dyDescent="0.3"/>
  <cols>
    <col min="2" max="2" width="20.77734375" customWidth="1"/>
    <col min="3" max="3" width="17.77734375" customWidth="1"/>
    <col min="5" max="5" width="16.6640625" customWidth="1"/>
    <col min="6" max="6" width="40.109375" customWidth="1"/>
    <col min="7" max="7" width="17.33203125" customWidth="1"/>
  </cols>
  <sheetData>
    <row r="1" spans="1:8" ht="27" customHeight="1" x14ac:dyDescent="0.3">
      <c r="A1" s="6" t="s">
        <v>0</v>
      </c>
      <c r="B1" s="6" t="s">
        <v>1</v>
      </c>
      <c r="C1" s="6" t="s">
        <v>2</v>
      </c>
      <c r="D1" s="6" t="s">
        <v>925</v>
      </c>
      <c r="E1" s="6" t="s">
        <v>3</v>
      </c>
      <c r="F1" s="6" t="s">
        <v>4</v>
      </c>
      <c r="G1" s="6" t="s">
        <v>5</v>
      </c>
      <c r="H1" s="6" t="s">
        <v>6</v>
      </c>
    </row>
    <row r="2" spans="1:8" x14ac:dyDescent="0.3">
      <c r="A2" s="73">
        <v>46203</v>
      </c>
      <c r="B2" s="1" t="s">
        <v>34</v>
      </c>
      <c r="C2" s="1" t="s">
        <v>8</v>
      </c>
      <c r="D2" s="1" t="s">
        <v>9</v>
      </c>
      <c r="E2" s="1" t="s">
        <v>10</v>
      </c>
      <c r="F2" s="1" t="s">
        <v>926</v>
      </c>
      <c r="G2" s="5">
        <v>600</v>
      </c>
      <c r="H2" s="3" t="s">
        <v>12</v>
      </c>
    </row>
    <row r="3" spans="1:8" x14ac:dyDescent="0.3">
      <c r="A3" s="73">
        <v>46203</v>
      </c>
      <c r="B3" s="1" t="s">
        <v>53</v>
      </c>
      <c r="C3" s="1" t="s">
        <v>20</v>
      </c>
      <c r="D3" s="1" t="s">
        <v>9</v>
      </c>
      <c r="E3" s="1" t="s">
        <v>10</v>
      </c>
      <c r="F3" s="1" t="s">
        <v>455</v>
      </c>
      <c r="G3" s="5">
        <v>455.92</v>
      </c>
      <c r="H3" s="3" t="s">
        <v>12</v>
      </c>
    </row>
    <row r="4" spans="1:8" x14ac:dyDescent="0.3">
      <c r="A4" s="73">
        <v>46203</v>
      </c>
      <c r="B4" s="1" t="s">
        <v>53</v>
      </c>
      <c r="C4" s="1" t="s">
        <v>8</v>
      </c>
      <c r="D4" s="1" t="s">
        <v>9</v>
      </c>
      <c r="E4" s="1" t="s">
        <v>10</v>
      </c>
      <c r="F4" s="1" t="s">
        <v>927</v>
      </c>
      <c r="G4" s="5">
        <v>1218.3699999999999</v>
      </c>
      <c r="H4" s="3" t="s">
        <v>12</v>
      </c>
    </row>
    <row r="5" spans="1:8" x14ac:dyDescent="0.3">
      <c r="A5" s="73">
        <v>46203</v>
      </c>
      <c r="B5" s="1" t="s">
        <v>53</v>
      </c>
      <c r="C5" s="1" t="s">
        <v>20</v>
      </c>
      <c r="D5" s="1" t="s">
        <v>9</v>
      </c>
      <c r="E5" s="1" t="s">
        <v>28</v>
      </c>
      <c r="F5" s="1" t="s">
        <v>456</v>
      </c>
      <c r="G5" s="5">
        <v>3553.39</v>
      </c>
      <c r="H5" s="3" t="s">
        <v>12</v>
      </c>
    </row>
    <row r="6" spans="1:8" x14ac:dyDescent="0.3">
      <c r="A6" s="73">
        <v>46203</v>
      </c>
      <c r="B6" s="1" t="s">
        <v>163</v>
      </c>
      <c r="C6" s="1" t="s">
        <v>8</v>
      </c>
      <c r="D6" s="1" t="s">
        <v>9</v>
      </c>
      <c r="E6" s="1" t="s">
        <v>10</v>
      </c>
      <c r="F6" s="1" t="s">
        <v>928</v>
      </c>
      <c r="G6" s="5">
        <v>149</v>
      </c>
      <c r="H6" s="3" t="s">
        <v>12</v>
      </c>
    </row>
    <row r="7" spans="1:8" x14ac:dyDescent="0.3">
      <c r="A7" s="73">
        <v>46203</v>
      </c>
      <c r="B7" s="1" t="s">
        <v>218</v>
      </c>
      <c r="C7" s="1" t="s">
        <v>8</v>
      </c>
      <c r="D7" s="1" t="s">
        <v>9</v>
      </c>
      <c r="E7" s="1" t="s">
        <v>10</v>
      </c>
      <c r="F7" s="1" t="s">
        <v>929</v>
      </c>
      <c r="G7" s="5">
        <v>1130.95</v>
      </c>
      <c r="H7" s="3" t="s">
        <v>12</v>
      </c>
    </row>
    <row r="8" spans="1:8" x14ac:dyDescent="0.3">
      <c r="A8" s="73">
        <v>46203</v>
      </c>
      <c r="B8" s="1" t="s">
        <v>79</v>
      </c>
      <c r="C8" s="1" t="s">
        <v>30</v>
      </c>
      <c r="D8" s="1" t="s">
        <v>9</v>
      </c>
      <c r="E8" s="1" t="s">
        <v>79</v>
      </c>
      <c r="F8" s="1" t="s">
        <v>930</v>
      </c>
      <c r="G8" s="5">
        <v>2955.29</v>
      </c>
      <c r="H8" s="3" t="s">
        <v>12</v>
      </c>
    </row>
    <row r="9" spans="1:8" x14ac:dyDescent="0.3">
      <c r="A9" s="73">
        <v>46203</v>
      </c>
      <c r="B9" s="1" t="s">
        <v>29</v>
      </c>
      <c r="C9" s="1" t="s">
        <v>30</v>
      </c>
      <c r="D9" s="1" t="s">
        <v>23</v>
      </c>
      <c r="E9" s="1" t="s">
        <v>28</v>
      </c>
      <c r="F9" s="1" t="s">
        <v>450</v>
      </c>
      <c r="G9" s="5">
        <v>900</v>
      </c>
      <c r="H9" s="3" t="s">
        <v>12</v>
      </c>
    </row>
    <row r="10" spans="1:8" x14ac:dyDescent="0.3">
      <c r="A10" s="73">
        <v>46203</v>
      </c>
      <c r="B10" s="1" t="s">
        <v>29</v>
      </c>
      <c r="C10" s="1" t="s">
        <v>30</v>
      </c>
      <c r="D10" s="1" t="s">
        <v>23</v>
      </c>
      <c r="E10" s="1" t="s">
        <v>10</v>
      </c>
      <c r="F10" s="1" t="s">
        <v>450</v>
      </c>
      <c r="G10" s="5">
        <v>900</v>
      </c>
      <c r="H10" s="3" t="s">
        <v>12</v>
      </c>
    </row>
    <row r="11" spans="1:8" x14ac:dyDescent="0.3">
      <c r="A11" s="73">
        <v>46203</v>
      </c>
      <c r="B11" s="1" t="s">
        <v>55</v>
      </c>
      <c r="C11" s="1" t="s">
        <v>20</v>
      </c>
      <c r="D11" s="1" t="s">
        <v>9</v>
      </c>
      <c r="E11" s="1" t="s">
        <v>28</v>
      </c>
      <c r="F11" s="1" t="s">
        <v>931</v>
      </c>
      <c r="G11" s="5">
        <v>1160</v>
      </c>
      <c r="H11" s="3" t="s">
        <v>12</v>
      </c>
    </row>
    <row r="12" spans="1:8" x14ac:dyDescent="0.3">
      <c r="A12" s="73">
        <v>46203</v>
      </c>
      <c r="B12" s="1" t="s">
        <v>53</v>
      </c>
      <c r="C12" s="1" t="s">
        <v>8</v>
      </c>
      <c r="D12" s="1" t="s">
        <v>9</v>
      </c>
      <c r="E12" s="1" t="s">
        <v>10</v>
      </c>
      <c r="F12" s="1" t="s">
        <v>932</v>
      </c>
      <c r="G12" s="5">
        <v>92.8</v>
      </c>
      <c r="H12" s="3" t="s">
        <v>12</v>
      </c>
    </row>
    <row r="13" spans="1:8" x14ac:dyDescent="0.3">
      <c r="A13" s="73">
        <v>46202</v>
      </c>
      <c r="B13" s="1" t="s">
        <v>81</v>
      </c>
      <c r="C13" s="1" t="s">
        <v>8</v>
      </c>
      <c r="D13" s="1" t="s">
        <v>9</v>
      </c>
      <c r="E13" s="1" t="s">
        <v>10</v>
      </c>
      <c r="F13" s="1" t="s">
        <v>933</v>
      </c>
      <c r="G13" s="5">
        <v>268</v>
      </c>
      <c r="H13" s="3" t="s">
        <v>12</v>
      </c>
    </row>
    <row r="14" spans="1:8" x14ac:dyDescent="0.3">
      <c r="A14" s="73">
        <v>46202</v>
      </c>
      <c r="B14" s="1" t="s">
        <v>34</v>
      </c>
      <c r="C14" s="1" t="s">
        <v>8</v>
      </c>
      <c r="D14" s="1" t="s">
        <v>9</v>
      </c>
      <c r="E14" s="1" t="s">
        <v>10</v>
      </c>
      <c r="F14" s="1" t="s">
        <v>934</v>
      </c>
      <c r="G14" s="5">
        <v>800</v>
      </c>
      <c r="H14" s="3" t="s">
        <v>12</v>
      </c>
    </row>
    <row r="15" spans="1:8" x14ac:dyDescent="0.3">
      <c r="A15" s="73">
        <v>46202</v>
      </c>
      <c r="B15" s="1" t="s">
        <v>34</v>
      </c>
      <c r="C15" s="1" t="s">
        <v>8</v>
      </c>
      <c r="D15" s="1" t="s">
        <v>9</v>
      </c>
      <c r="E15" s="1" t="s">
        <v>10</v>
      </c>
      <c r="F15" s="1" t="s">
        <v>935</v>
      </c>
      <c r="G15" s="5">
        <v>800</v>
      </c>
      <c r="H15" s="3" t="s">
        <v>12</v>
      </c>
    </row>
    <row r="16" spans="1:8" x14ac:dyDescent="0.3">
      <c r="A16" s="73">
        <v>46202</v>
      </c>
      <c r="B16" s="1" t="s">
        <v>34</v>
      </c>
      <c r="C16" s="1" t="s">
        <v>8</v>
      </c>
      <c r="D16" s="1" t="s">
        <v>9</v>
      </c>
      <c r="E16" s="1" t="s">
        <v>10</v>
      </c>
      <c r="F16" s="1" t="s">
        <v>936</v>
      </c>
      <c r="G16" s="5">
        <v>570.23</v>
      </c>
      <c r="H16" s="3" t="s">
        <v>12</v>
      </c>
    </row>
    <row r="17" spans="1:8" x14ac:dyDescent="0.3">
      <c r="A17" s="73">
        <v>46202</v>
      </c>
      <c r="B17" s="1" t="s">
        <v>34</v>
      </c>
      <c r="C17" s="1" t="s">
        <v>8</v>
      </c>
      <c r="D17" s="1" t="s">
        <v>9</v>
      </c>
      <c r="E17" s="1" t="s">
        <v>10</v>
      </c>
      <c r="F17" s="1" t="s">
        <v>937</v>
      </c>
      <c r="G17" s="5">
        <v>800</v>
      </c>
      <c r="H17" s="3" t="s">
        <v>12</v>
      </c>
    </row>
    <row r="18" spans="1:8" x14ac:dyDescent="0.3">
      <c r="A18" s="73">
        <v>46202</v>
      </c>
      <c r="B18" s="1" t="s">
        <v>89</v>
      </c>
      <c r="C18" s="1" t="s">
        <v>8</v>
      </c>
      <c r="D18" s="1" t="s">
        <v>9</v>
      </c>
      <c r="E18" s="1" t="s">
        <v>10</v>
      </c>
      <c r="F18" s="1" t="s">
        <v>938</v>
      </c>
      <c r="G18" s="5">
        <v>405</v>
      </c>
      <c r="H18" s="3" t="s">
        <v>12</v>
      </c>
    </row>
    <row r="19" spans="1:8" x14ac:dyDescent="0.3">
      <c r="A19" s="73">
        <v>46202</v>
      </c>
      <c r="B19" s="1" t="s">
        <v>89</v>
      </c>
      <c r="C19" s="1" t="s">
        <v>8</v>
      </c>
      <c r="D19" s="1" t="s">
        <v>9</v>
      </c>
      <c r="E19" s="1" t="s">
        <v>10</v>
      </c>
      <c r="F19" s="1" t="s">
        <v>939</v>
      </c>
      <c r="G19" s="5">
        <v>5476.32</v>
      </c>
      <c r="H19" s="3" t="s">
        <v>12</v>
      </c>
    </row>
    <row r="20" spans="1:8" x14ac:dyDescent="0.3">
      <c r="A20" s="73">
        <v>46202</v>
      </c>
      <c r="B20" s="1" t="s">
        <v>19</v>
      </c>
      <c r="C20" s="1" t="s">
        <v>20</v>
      </c>
      <c r="D20" s="1" t="s">
        <v>23</v>
      </c>
      <c r="E20" s="1" t="s">
        <v>10</v>
      </c>
      <c r="F20" s="1" t="s">
        <v>940</v>
      </c>
      <c r="G20" s="5">
        <v>3507.07</v>
      </c>
      <c r="H20" s="3" t="s">
        <v>12</v>
      </c>
    </row>
    <row r="21" spans="1:8" x14ac:dyDescent="0.3">
      <c r="A21" s="73">
        <v>46202</v>
      </c>
      <c r="B21" s="1" t="s">
        <v>25</v>
      </c>
      <c r="C21" s="1" t="s">
        <v>20</v>
      </c>
      <c r="D21" s="1" t="s">
        <v>9</v>
      </c>
      <c r="E21" s="1" t="s">
        <v>10</v>
      </c>
      <c r="F21" s="1" t="s">
        <v>941</v>
      </c>
      <c r="G21" s="5">
        <v>180000</v>
      </c>
      <c r="H21" s="3" t="s">
        <v>12</v>
      </c>
    </row>
    <row r="22" spans="1:8" x14ac:dyDescent="0.3">
      <c r="A22" s="73">
        <v>46202</v>
      </c>
      <c r="B22" s="1" t="s">
        <v>34</v>
      </c>
      <c r="C22" s="1" t="s">
        <v>8</v>
      </c>
      <c r="D22" s="1" t="s">
        <v>9</v>
      </c>
      <c r="E22" s="1" t="s">
        <v>10</v>
      </c>
      <c r="F22" s="1" t="s">
        <v>942</v>
      </c>
      <c r="G22" s="5">
        <v>1953.12</v>
      </c>
      <c r="H22" s="3" t="s">
        <v>12</v>
      </c>
    </row>
    <row r="23" spans="1:8" x14ac:dyDescent="0.3">
      <c r="A23" s="73">
        <v>46202</v>
      </c>
      <c r="B23" s="1" t="s">
        <v>79</v>
      </c>
      <c r="C23" s="1" t="s">
        <v>8</v>
      </c>
      <c r="D23" s="1" t="s">
        <v>9</v>
      </c>
      <c r="E23" s="1" t="s">
        <v>10</v>
      </c>
      <c r="F23" s="1" t="s">
        <v>943</v>
      </c>
      <c r="G23" s="5">
        <v>145</v>
      </c>
      <c r="H23" s="3" t="s">
        <v>12</v>
      </c>
    </row>
    <row r="24" spans="1:8" x14ac:dyDescent="0.3">
      <c r="A24" s="73">
        <v>46202</v>
      </c>
      <c r="B24" s="1" t="s">
        <v>55</v>
      </c>
      <c r="C24" s="1" t="s">
        <v>8</v>
      </c>
      <c r="D24" s="1" t="s">
        <v>9</v>
      </c>
      <c r="E24" s="1" t="s">
        <v>10</v>
      </c>
      <c r="F24" s="1" t="s">
        <v>944</v>
      </c>
      <c r="G24" s="5">
        <v>8499.99</v>
      </c>
      <c r="H24" s="3" t="s">
        <v>12</v>
      </c>
    </row>
    <row r="25" spans="1:8" x14ac:dyDescent="0.3">
      <c r="A25" s="73">
        <v>46202</v>
      </c>
      <c r="B25" s="1" t="s">
        <v>50</v>
      </c>
      <c r="C25" s="1" t="s">
        <v>30</v>
      </c>
      <c r="D25" s="1" t="s">
        <v>9</v>
      </c>
      <c r="E25" s="1" t="s">
        <v>10</v>
      </c>
      <c r="F25" s="1" t="s">
        <v>945</v>
      </c>
      <c r="G25" s="5">
        <v>84</v>
      </c>
      <c r="H25" s="3" t="s">
        <v>12</v>
      </c>
    </row>
    <row r="26" spans="1:8" x14ac:dyDescent="0.3">
      <c r="A26" s="73">
        <v>46202</v>
      </c>
      <c r="B26" s="1" t="s">
        <v>34</v>
      </c>
      <c r="C26" s="1" t="s">
        <v>8</v>
      </c>
      <c r="D26" s="1" t="s">
        <v>9</v>
      </c>
      <c r="E26" s="1" t="s">
        <v>10</v>
      </c>
      <c r="F26" s="1" t="s">
        <v>946</v>
      </c>
      <c r="G26" s="5">
        <v>400.14</v>
      </c>
      <c r="H26" s="3" t="s">
        <v>12</v>
      </c>
    </row>
    <row r="27" spans="1:8" x14ac:dyDescent="0.3">
      <c r="A27" s="73">
        <v>46200</v>
      </c>
      <c r="B27" s="1" t="s">
        <v>79</v>
      </c>
      <c r="C27" s="1" t="s">
        <v>8</v>
      </c>
      <c r="D27" s="1" t="s">
        <v>9</v>
      </c>
      <c r="E27" s="1" t="s">
        <v>10</v>
      </c>
      <c r="F27" s="1" t="s">
        <v>947</v>
      </c>
      <c r="G27" s="5">
        <v>267.5</v>
      </c>
      <c r="H27" s="3" t="s">
        <v>12</v>
      </c>
    </row>
    <row r="28" spans="1:8" x14ac:dyDescent="0.3">
      <c r="A28" s="73">
        <v>46199</v>
      </c>
      <c r="B28" s="1" t="s">
        <v>25</v>
      </c>
      <c r="C28" s="1" t="s">
        <v>20</v>
      </c>
      <c r="D28" s="1" t="s">
        <v>9</v>
      </c>
      <c r="E28" s="1" t="s">
        <v>28</v>
      </c>
      <c r="F28" s="1" t="s">
        <v>948</v>
      </c>
      <c r="G28" s="5">
        <v>7893.98</v>
      </c>
      <c r="H28" s="3" t="s">
        <v>12</v>
      </c>
    </row>
    <row r="29" spans="1:8" x14ac:dyDescent="0.3">
      <c r="A29" s="73">
        <v>46199</v>
      </c>
      <c r="B29" s="1" t="s">
        <v>17</v>
      </c>
      <c r="C29" s="1" t="s">
        <v>20</v>
      </c>
      <c r="D29" s="1" t="s">
        <v>9</v>
      </c>
      <c r="E29" s="1" t="s">
        <v>10</v>
      </c>
      <c r="F29" s="1" t="s">
        <v>949</v>
      </c>
      <c r="G29" s="5">
        <v>327.76</v>
      </c>
      <c r="H29" s="3" t="s">
        <v>12</v>
      </c>
    </row>
    <row r="30" spans="1:8" x14ac:dyDescent="0.3">
      <c r="A30" s="73">
        <v>46199</v>
      </c>
      <c r="B30" s="1" t="s">
        <v>34</v>
      </c>
      <c r="C30" s="1" t="s">
        <v>8</v>
      </c>
      <c r="D30" s="1" t="s">
        <v>9</v>
      </c>
      <c r="E30" s="1" t="s">
        <v>10</v>
      </c>
      <c r="F30" s="1" t="s">
        <v>950</v>
      </c>
      <c r="G30" s="5">
        <v>440.81</v>
      </c>
      <c r="H30" s="3" t="s">
        <v>12</v>
      </c>
    </row>
    <row r="31" spans="1:8" x14ac:dyDescent="0.3">
      <c r="A31" s="73">
        <v>46199</v>
      </c>
      <c r="B31" s="1" t="s">
        <v>34</v>
      </c>
      <c r="C31" s="1" t="s">
        <v>8</v>
      </c>
      <c r="D31" s="1" t="s">
        <v>9</v>
      </c>
      <c r="E31" s="1" t="s">
        <v>10</v>
      </c>
      <c r="F31" s="1" t="s">
        <v>951</v>
      </c>
      <c r="G31" s="5">
        <v>1000</v>
      </c>
      <c r="H31" s="3" t="s">
        <v>12</v>
      </c>
    </row>
    <row r="32" spans="1:8" x14ac:dyDescent="0.3">
      <c r="A32" s="73">
        <v>46199</v>
      </c>
      <c r="B32" s="1" t="s">
        <v>25</v>
      </c>
      <c r="C32" s="1" t="s">
        <v>20</v>
      </c>
      <c r="D32" s="1" t="s">
        <v>9</v>
      </c>
      <c r="E32" s="1" t="s">
        <v>10</v>
      </c>
      <c r="F32" s="1" t="s">
        <v>948</v>
      </c>
      <c r="G32" s="5">
        <v>165406.67000000001</v>
      </c>
      <c r="H32" s="3" t="s">
        <v>12</v>
      </c>
    </row>
    <row r="33" spans="1:8" x14ac:dyDescent="0.3">
      <c r="A33" s="73">
        <v>46199</v>
      </c>
      <c r="B33" s="1" t="s">
        <v>34</v>
      </c>
      <c r="C33" s="1" t="s">
        <v>8</v>
      </c>
      <c r="D33" s="1" t="s">
        <v>9</v>
      </c>
      <c r="E33" s="1" t="s">
        <v>10</v>
      </c>
      <c r="F33" s="1" t="s">
        <v>952</v>
      </c>
      <c r="G33" s="5">
        <v>1953.12</v>
      </c>
      <c r="H33" s="3" t="s">
        <v>12</v>
      </c>
    </row>
    <row r="34" spans="1:8" x14ac:dyDescent="0.3">
      <c r="A34" s="73">
        <v>46198</v>
      </c>
      <c r="B34" s="1" t="s">
        <v>29</v>
      </c>
      <c r="C34" s="1" t="s">
        <v>8</v>
      </c>
      <c r="D34" s="1" t="s">
        <v>9</v>
      </c>
      <c r="E34" s="1" t="s">
        <v>10</v>
      </c>
      <c r="F34" s="1" t="s">
        <v>953</v>
      </c>
      <c r="G34" s="5">
        <v>229</v>
      </c>
      <c r="H34" s="3" t="s">
        <v>12</v>
      </c>
    </row>
    <row r="35" spans="1:8" x14ac:dyDescent="0.3">
      <c r="A35" s="73">
        <v>46198</v>
      </c>
      <c r="B35" s="1" t="s">
        <v>45</v>
      </c>
      <c r="C35" s="1" t="s">
        <v>8</v>
      </c>
      <c r="D35" s="1" t="s">
        <v>9</v>
      </c>
      <c r="E35" s="1" t="s">
        <v>10</v>
      </c>
      <c r="F35" s="1" t="s">
        <v>648</v>
      </c>
      <c r="G35" s="5">
        <v>5566.41</v>
      </c>
      <c r="H35" s="3" t="s">
        <v>12</v>
      </c>
    </row>
    <row r="36" spans="1:8" x14ac:dyDescent="0.3">
      <c r="A36" s="73">
        <v>46198</v>
      </c>
      <c r="B36" s="1" t="s">
        <v>34</v>
      </c>
      <c r="C36" s="1" t="s">
        <v>8</v>
      </c>
      <c r="D36" s="1" t="s">
        <v>9</v>
      </c>
      <c r="E36" s="1" t="s">
        <v>10</v>
      </c>
      <c r="F36" s="1" t="s">
        <v>954</v>
      </c>
      <c r="G36" s="5">
        <v>810.23</v>
      </c>
      <c r="H36" s="3" t="s">
        <v>12</v>
      </c>
    </row>
    <row r="37" spans="1:8" x14ac:dyDescent="0.3">
      <c r="A37" s="73">
        <v>46198</v>
      </c>
      <c r="B37" s="1" t="s">
        <v>255</v>
      </c>
      <c r="C37" s="1" t="s">
        <v>20</v>
      </c>
      <c r="D37" s="1" t="s">
        <v>9</v>
      </c>
      <c r="E37" s="1" t="s">
        <v>10</v>
      </c>
      <c r="F37" s="1" t="s">
        <v>955</v>
      </c>
      <c r="G37" s="5">
        <v>4172.6400000000003</v>
      </c>
      <c r="H37" s="3" t="s">
        <v>12</v>
      </c>
    </row>
    <row r="38" spans="1:8" x14ac:dyDescent="0.3">
      <c r="A38" s="73">
        <v>46196</v>
      </c>
      <c r="B38" s="1" t="s">
        <v>34</v>
      </c>
      <c r="C38" s="1" t="s">
        <v>8</v>
      </c>
      <c r="D38" s="1" t="s">
        <v>9</v>
      </c>
      <c r="E38" s="1" t="s">
        <v>10</v>
      </c>
      <c r="F38" s="1" t="s">
        <v>956</v>
      </c>
      <c r="G38" s="5">
        <v>500</v>
      </c>
      <c r="H38" s="3" t="s">
        <v>12</v>
      </c>
    </row>
    <row r="39" spans="1:8" x14ac:dyDescent="0.3">
      <c r="A39" s="73">
        <v>46196</v>
      </c>
      <c r="B39" s="1" t="s">
        <v>34</v>
      </c>
      <c r="C39" s="1" t="s">
        <v>8</v>
      </c>
      <c r="D39" s="1" t="s">
        <v>9</v>
      </c>
      <c r="E39" s="1" t="s">
        <v>10</v>
      </c>
      <c r="F39" s="1" t="s">
        <v>957</v>
      </c>
      <c r="G39" s="5">
        <v>800</v>
      </c>
      <c r="H39" s="3" t="s">
        <v>12</v>
      </c>
    </row>
    <row r="40" spans="1:8" x14ac:dyDescent="0.3">
      <c r="A40" s="73">
        <v>46196</v>
      </c>
      <c r="B40" s="1" t="s">
        <v>34</v>
      </c>
      <c r="C40" s="1" t="s">
        <v>8</v>
      </c>
      <c r="D40" s="1" t="s">
        <v>9</v>
      </c>
      <c r="E40" s="1" t="s">
        <v>10</v>
      </c>
      <c r="F40" s="1" t="s">
        <v>958</v>
      </c>
      <c r="G40" s="5">
        <v>800.19</v>
      </c>
      <c r="H40" s="3" t="s">
        <v>12</v>
      </c>
    </row>
    <row r="41" spans="1:8" x14ac:dyDescent="0.3">
      <c r="A41" s="73">
        <v>46196</v>
      </c>
      <c r="B41" s="1" t="s">
        <v>34</v>
      </c>
      <c r="C41" s="1" t="s">
        <v>8</v>
      </c>
      <c r="D41" s="1" t="s">
        <v>9</v>
      </c>
      <c r="E41" s="1" t="s">
        <v>10</v>
      </c>
      <c r="F41" s="1" t="s">
        <v>959</v>
      </c>
      <c r="G41" s="5">
        <v>500</v>
      </c>
      <c r="H41" s="3" t="s">
        <v>12</v>
      </c>
    </row>
    <row r="42" spans="1:8" x14ac:dyDescent="0.3">
      <c r="A42" s="73">
        <v>46196</v>
      </c>
      <c r="B42" s="1" t="s">
        <v>34</v>
      </c>
      <c r="C42" s="1" t="s">
        <v>8</v>
      </c>
      <c r="D42" s="1" t="s">
        <v>9</v>
      </c>
      <c r="E42" s="1" t="s">
        <v>10</v>
      </c>
      <c r="F42" s="1" t="s">
        <v>960</v>
      </c>
      <c r="G42" s="5">
        <v>800</v>
      </c>
      <c r="H42" s="3" t="s">
        <v>12</v>
      </c>
    </row>
    <row r="43" spans="1:8" x14ac:dyDescent="0.3">
      <c r="A43" s="73">
        <v>46195</v>
      </c>
      <c r="B43" s="1" t="s">
        <v>29</v>
      </c>
      <c r="C43" s="1" t="s">
        <v>30</v>
      </c>
      <c r="D43" s="1" t="s">
        <v>23</v>
      </c>
      <c r="E43" s="1" t="s">
        <v>10</v>
      </c>
      <c r="F43" s="1" t="s">
        <v>961</v>
      </c>
      <c r="G43" s="5">
        <v>519</v>
      </c>
      <c r="H43" s="3" t="s">
        <v>12</v>
      </c>
    </row>
    <row r="44" spans="1:8" x14ac:dyDescent="0.3">
      <c r="A44" s="73">
        <v>46195</v>
      </c>
      <c r="B44" s="1" t="s">
        <v>34</v>
      </c>
      <c r="C44" s="1" t="s">
        <v>8</v>
      </c>
      <c r="D44" s="1" t="s">
        <v>9</v>
      </c>
      <c r="E44" s="1" t="s">
        <v>10</v>
      </c>
      <c r="F44" s="1" t="s">
        <v>962</v>
      </c>
      <c r="G44" s="5">
        <v>800</v>
      </c>
      <c r="H44" s="3" t="s">
        <v>12</v>
      </c>
    </row>
    <row r="45" spans="1:8" x14ac:dyDescent="0.3">
      <c r="A45" s="73">
        <v>46195</v>
      </c>
      <c r="B45" s="1" t="s">
        <v>7</v>
      </c>
      <c r="C45" s="1" t="s">
        <v>8</v>
      </c>
      <c r="D45" s="1" t="s">
        <v>9</v>
      </c>
      <c r="E45" s="1" t="s">
        <v>10</v>
      </c>
      <c r="F45" s="1" t="s">
        <v>963</v>
      </c>
      <c r="G45" s="5">
        <v>7447.02</v>
      </c>
      <c r="H45" s="3" t="s">
        <v>12</v>
      </c>
    </row>
    <row r="46" spans="1:8" x14ac:dyDescent="0.3">
      <c r="A46" s="73">
        <v>46193</v>
      </c>
      <c r="B46" s="1" t="s">
        <v>79</v>
      </c>
      <c r="C46" s="1" t="s">
        <v>8</v>
      </c>
      <c r="D46" s="1" t="s">
        <v>9</v>
      </c>
      <c r="E46" s="1" t="s">
        <v>10</v>
      </c>
      <c r="F46" s="1" t="s">
        <v>964</v>
      </c>
      <c r="G46" s="5">
        <v>230.05</v>
      </c>
      <c r="H46" s="3" t="s">
        <v>12</v>
      </c>
    </row>
    <row r="47" spans="1:8" x14ac:dyDescent="0.3">
      <c r="A47" s="73">
        <v>46192</v>
      </c>
      <c r="B47" s="1" t="s">
        <v>13</v>
      </c>
      <c r="C47" s="1" t="s">
        <v>30</v>
      </c>
      <c r="D47" s="1" t="s">
        <v>9</v>
      </c>
      <c r="E47" s="1" t="s">
        <v>10</v>
      </c>
      <c r="F47" s="1" t="s">
        <v>965</v>
      </c>
      <c r="G47" s="5">
        <v>300</v>
      </c>
      <c r="H47" s="3" t="s">
        <v>12</v>
      </c>
    </row>
    <row r="48" spans="1:8" x14ac:dyDescent="0.3">
      <c r="A48" s="73">
        <v>46192</v>
      </c>
      <c r="B48" s="1" t="s">
        <v>70</v>
      </c>
      <c r="C48" s="1" t="s">
        <v>20</v>
      </c>
      <c r="D48" s="1" t="s">
        <v>9</v>
      </c>
      <c r="E48" s="1" t="s">
        <v>71</v>
      </c>
      <c r="F48" s="1" t="s">
        <v>966</v>
      </c>
      <c r="G48" s="5">
        <v>35607.22</v>
      </c>
      <c r="H48" s="3" t="s">
        <v>12</v>
      </c>
    </row>
    <row r="49" spans="1:8" x14ac:dyDescent="0.3">
      <c r="A49" s="73">
        <v>46192</v>
      </c>
      <c r="B49" s="1" t="s">
        <v>13</v>
      </c>
      <c r="C49" s="1" t="s">
        <v>8</v>
      </c>
      <c r="D49" s="1" t="s">
        <v>9</v>
      </c>
      <c r="E49" s="1" t="s">
        <v>10</v>
      </c>
      <c r="F49" s="1" t="s">
        <v>967</v>
      </c>
      <c r="G49" s="5">
        <v>320</v>
      </c>
      <c r="H49" s="3" t="s">
        <v>12</v>
      </c>
    </row>
    <row r="50" spans="1:8" x14ac:dyDescent="0.3">
      <c r="A50" s="73">
        <v>46192</v>
      </c>
      <c r="B50" s="1" t="s">
        <v>34</v>
      </c>
      <c r="C50" s="1" t="s">
        <v>8</v>
      </c>
      <c r="D50" s="1" t="s">
        <v>9</v>
      </c>
      <c r="E50" s="1" t="s">
        <v>10</v>
      </c>
      <c r="F50" s="1" t="s">
        <v>968</v>
      </c>
      <c r="G50" s="5">
        <v>800</v>
      </c>
      <c r="H50" s="3" t="s">
        <v>12</v>
      </c>
    </row>
    <row r="51" spans="1:8" x14ac:dyDescent="0.3">
      <c r="A51" s="73">
        <v>46192</v>
      </c>
      <c r="B51" s="1" t="s">
        <v>79</v>
      </c>
      <c r="C51" s="1" t="s">
        <v>8</v>
      </c>
      <c r="D51" s="1" t="s">
        <v>9</v>
      </c>
      <c r="E51" s="1" t="s">
        <v>10</v>
      </c>
      <c r="F51" s="1" t="s">
        <v>969</v>
      </c>
      <c r="G51" s="5">
        <v>17928</v>
      </c>
      <c r="H51" s="3" t="s">
        <v>12</v>
      </c>
    </row>
    <row r="52" spans="1:8" x14ac:dyDescent="0.3">
      <c r="A52" s="73">
        <v>46192</v>
      </c>
      <c r="B52" s="1" t="s">
        <v>25</v>
      </c>
      <c r="C52" s="1" t="s">
        <v>20</v>
      </c>
      <c r="D52" s="1" t="s">
        <v>9</v>
      </c>
      <c r="E52" s="1" t="s">
        <v>28</v>
      </c>
      <c r="F52" s="1" t="s">
        <v>970</v>
      </c>
      <c r="G52" s="5">
        <v>7893.98</v>
      </c>
      <c r="H52" s="3" t="s">
        <v>12</v>
      </c>
    </row>
    <row r="53" spans="1:8" x14ac:dyDescent="0.3">
      <c r="A53" s="73">
        <v>46192</v>
      </c>
      <c r="B53" s="1" t="s">
        <v>25</v>
      </c>
      <c r="C53" s="1" t="s">
        <v>20</v>
      </c>
      <c r="D53" s="1" t="s">
        <v>9</v>
      </c>
      <c r="E53" s="1" t="s">
        <v>10</v>
      </c>
      <c r="F53" s="1" t="s">
        <v>970</v>
      </c>
      <c r="G53" s="5">
        <v>166326.5</v>
      </c>
      <c r="H53" s="3" t="s">
        <v>12</v>
      </c>
    </row>
    <row r="54" spans="1:8" x14ac:dyDescent="0.3">
      <c r="A54" s="73">
        <v>46191</v>
      </c>
      <c r="B54" s="1" t="s">
        <v>163</v>
      </c>
      <c r="C54" s="1" t="s">
        <v>8</v>
      </c>
      <c r="D54" s="1" t="s">
        <v>9</v>
      </c>
      <c r="E54" s="1" t="s">
        <v>10</v>
      </c>
      <c r="F54" s="1" t="s">
        <v>971</v>
      </c>
      <c r="G54" s="5">
        <v>119.8</v>
      </c>
      <c r="H54" s="3" t="s">
        <v>12</v>
      </c>
    </row>
    <row r="55" spans="1:8" x14ac:dyDescent="0.3">
      <c r="A55" s="73">
        <v>46191</v>
      </c>
      <c r="B55" s="1" t="s">
        <v>34</v>
      </c>
      <c r="C55" s="1" t="s">
        <v>8</v>
      </c>
      <c r="D55" s="1" t="s">
        <v>9</v>
      </c>
      <c r="E55" s="1" t="s">
        <v>10</v>
      </c>
      <c r="F55" s="1" t="s">
        <v>972</v>
      </c>
      <c r="G55" s="5">
        <v>1975.07</v>
      </c>
      <c r="H55" s="3" t="s">
        <v>12</v>
      </c>
    </row>
    <row r="56" spans="1:8" x14ac:dyDescent="0.3">
      <c r="A56" s="73">
        <v>46191</v>
      </c>
      <c r="B56" s="1" t="s">
        <v>34</v>
      </c>
      <c r="C56" s="1" t="s">
        <v>8</v>
      </c>
      <c r="D56" s="1" t="s">
        <v>9</v>
      </c>
      <c r="E56" s="1" t="s">
        <v>10</v>
      </c>
      <c r="F56" s="1" t="s">
        <v>973</v>
      </c>
      <c r="G56" s="5">
        <v>619.17999999999995</v>
      </c>
      <c r="H56" s="3" t="s">
        <v>12</v>
      </c>
    </row>
    <row r="57" spans="1:8" x14ac:dyDescent="0.3">
      <c r="A57" s="73">
        <v>46191</v>
      </c>
      <c r="B57" s="1" t="s">
        <v>135</v>
      </c>
      <c r="C57" s="1" t="s">
        <v>8</v>
      </c>
      <c r="D57" s="1" t="s">
        <v>9</v>
      </c>
      <c r="E57" s="1" t="s">
        <v>10</v>
      </c>
      <c r="F57" s="1" t="s">
        <v>974</v>
      </c>
      <c r="G57" s="5">
        <v>45678.42</v>
      </c>
      <c r="H57" s="3" t="s">
        <v>12</v>
      </c>
    </row>
    <row r="58" spans="1:8" x14ac:dyDescent="0.3">
      <c r="A58" s="73">
        <v>46191</v>
      </c>
      <c r="B58" s="1" t="s">
        <v>154</v>
      </c>
      <c r="C58" s="1" t="s">
        <v>20</v>
      </c>
      <c r="D58" s="1" t="s">
        <v>9</v>
      </c>
      <c r="E58" s="1" t="s">
        <v>10</v>
      </c>
      <c r="F58" s="1" t="s">
        <v>975</v>
      </c>
      <c r="G58" s="5">
        <v>11665.16</v>
      </c>
      <c r="H58" s="3" t="s">
        <v>12</v>
      </c>
    </row>
    <row r="59" spans="1:8" x14ac:dyDescent="0.3">
      <c r="A59" s="73">
        <v>46191</v>
      </c>
      <c r="B59" s="1" t="s">
        <v>34</v>
      </c>
      <c r="C59" s="1" t="s">
        <v>8</v>
      </c>
      <c r="D59" s="1" t="s">
        <v>9</v>
      </c>
      <c r="E59" s="1" t="s">
        <v>10</v>
      </c>
      <c r="F59" s="1" t="s">
        <v>976</v>
      </c>
      <c r="G59" s="5">
        <v>684.95</v>
      </c>
      <c r="H59" s="3" t="s">
        <v>12</v>
      </c>
    </row>
    <row r="60" spans="1:8" x14ac:dyDescent="0.3">
      <c r="A60" s="73">
        <v>46191</v>
      </c>
      <c r="B60" s="1" t="s">
        <v>60</v>
      </c>
      <c r="C60" s="1" t="s">
        <v>8</v>
      </c>
      <c r="D60" s="1" t="s">
        <v>9</v>
      </c>
      <c r="E60" s="1" t="s">
        <v>10</v>
      </c>
      <c r="F60" s="1" t="s">
        <v>977</v>
      </c>
      <c r="G60" s="5">
        <v>696</v>
      </c>
      <c r="H60" s="3" t="s">
        <v>12</v>
      </c>
    </row>
    <row r="61" spans="1:8" x14ac:dyDescent="0.3">
      <c r="A61" s="73">
        <v>46191</v>
      </c>
      <c r="B61" s="1" t="s">
        <v>17</v>
      </c>
      <c r="C61" s="1" t="s">
        <v>8</v>
      </c>
      <c r="D61" s="1" t="s">
        <v>9</v>
      </c>
      <c r="E61" s="1" t="s">
        <v>10</v>
      </c>
      <c r="F61" s="1" t="s">
        <v>978</v>
      </c>
      <c r="G61" s="5">
        <v>327.76</v>
      </c>
      <c r="H61" s="3" t="s">
        <v>12</v>
      </c>
    </row>
    <row r="62" spans="1:8" x14ac:dyDescent="0.3">
      <c r="A62" s="73">
        <v>46191</v>
      </c>
      <c r="B62" s="1" t="s">
        <v>113</v>
      </c>
      <c r="C62" s="1" t="s">
        <v>8</v>
      </c>
      <c r="D62" s="1" t="s">
        <v>9</v>
      </c>
      <c r="E62" s="1" t="s">
        <v>10</v>
      </c>
      <c r="F62" s="1" t="s">
        <v>979</v>
      </c>
      <c r="G62" s="5">
        <v>26754</v>
      </c>
      <c r="H62" s="3" t="s">
        <v>12</v>
      </c>
    </row>
    <row r="63" spans="1:8" x14ac:dyDescent="0.3">
      <c r="A63" s="73">
        <v>46191</v>
      </c>
      <c r="B63" s="1" t="s">
        <v>163</v>
      </c>
      <c r="C63" s="1" t="s">
        <v>8</v>
      </c>
      <c r="D63" s="1" t="s">
        <v>9</v>
      </c>
      <c r="E63" s="1" t="s">
        <v>10</v>
      </c>
      <c r="F63" s="1" t="s">
        <v>980</v>
      </c>
      <c r="G63" s="5">
        <v>170</v>
      </c>
      <c r="H63" s="3" t="s">
        <v>12</v>
      </c>
    </row>
    <row r="64" spans="1:8" x14ac:dyDescent="0.3">
      <c r="A64" s="73">
        <v>46191</v>
      </c>
      <c r="B64" s="1" t="s">
        <v>34</v>
      </c>
      <c r="C64" s="1" t="s">
        <v>8</v>
      </c>
      <c r="D64" s="1" t="s">
        <v>9</v>
      </c>
      <c r="E64" s="1" t="s">
        <v>10</v>
      </c>
      <c r="F64" s="1" t="s">
        <v>981</v>
      </c>
      <c r="G64" s="5">
        <v>1000</v>
      </c>
      <c r="H64" s="3" t="s">
        <v>12</v>
      </c>
    </row>
    <row r="65" spans="1:8" x14ac:dyDescent="0.3">
      <c r="A65" s="73">
        <v>46190</v>
      </c>
      <c r="B65" s="1" t="s">
        <v>50</v>
      </c>
      <c r="C65" s="1" t="s">
        <v>30</v>
      </c>
      <c r="D65" s="1" t="s">
        <v>9</v>
      </c>
      <c r="E65" s="1" t="s">
        <v>28</v>
      </c>
      <c r="F65" s="1" t="s">
        <v>982</v>
      </c>
      <c r="G65" s="5">
        <v>104</v>
      </c>
      <c r="H65" s="3" t="s">
        <v>12</v>
      </c>
    </row>
    <row r="66" spans="1:8" x14ac:dyDescent="0.3">
      <c r="A66" s="73">
        <v>46189</v>
      </c>
      <c r="B66" s="1" t="s">
        <v>34</v>
      </c>
      <c r="C66" s="1" t="s">
        <v>8</v>
      </c>
      <c r="D66" s="1" t="s">
        <v>9</v>
      </c>
      <c r="E66" s="1" t="s">
        <v>10</v>
      </c>
      <c r="F66" s="1" t="s">
        <v>983</v>
      </c>
      <c r="G66" s="5">
        <v>800</v>
      </c>
      <c r="H66" s="3" t="s">
        <v>12</v>
      </c>
    </row>
    <row r="67" spans="1:8" x14ac:dyDescent="0.3">
      <c r="A67" s="73">
        <v>46189</v>
      </c>
      <c r="B67" s="1" t="s">
        <v>50</v>
      </c>
      <c r="C67" s="1" t="s">
        <v>8</v>
      </c>
      <c r="D67" s="1" t="s">
        <v>9</v>
      </c>
      <c r="E67" s="1" t="s">
        <v>10</v>
      </c>
      <c r="F67" s="1" t="s">
        <v>984</v>
      </c>
      <c r="G67" s="5">
        <v>176</v>
      </c>
      <c r="H67" s="3" t="s">
        <v>12</v>
      </c>
    </row>
    <row r="68" spans="1:8" x14ac:dyDescent="0.3">
      <c r="A68" s="73">
        <v>46189</v>
      </c>
      <c r="B68" s="1" t="s">
        <v>50</v>
      </c>
      <c r="C68" s="1" t="s">
        <v>30</v>
      </c>
      <c r="D68" s="1" t="s">
        <v>9</v>
      </c>
      <c r="E68" s="1" t="s">
        <v>28</v>
      </c>
      <c r="F68" s="1" t="s">
        <v>985</v>
      </c>
      <c r="G68" s="5">
        <v>580</v>
      </c>
      <c r="H68" s="3" t="s">
        <v>12</v>
      </c>
    </row>
    <row r="69" spans="1:8" x14ac:dyDescent="0.3">
      <c r="A69" s="73">
        <v>46189</v>
      </c>
      <c r="B69" s="1" t="s">
        <v>34</v>
      </c>
      <c r="C69" s="1" t="s">
        <v>8</v>
      </c>
      <c r="D69" s="1" t="s">
        <v>9</v>
      </c>
      <c r="E69" s="1" t="s">
        <v>10</v>
      </c>
      <c r="F69" s="1" t="s">
        <v>986</v>
      </c>
      <c r="G69" s="5">
        <v>800</v>
      </c>
      <c r="H69" s="3" t="s">
        <v>12</v>
      </c>
    </row>
    <row r="70" spans="1:8" x14ac:dyDescent="0.3">
      <c r="A70" s="73">
        <v>46188</v>
      </c>
      <c r="B70" s="1" t="s">
        <v>50</v>
      </c>
      <c r="C70" s="1" t="s">
        <v>8</v>
      </c>
      <c r="D70" s="1" t="s">
        <v>9</v>
      </c>
      <c r="E70" s="1" t="s">
        <v>10</v>
      </c>
      <c r="F70" s="1" t="s">
        <v>987</v>
      </c>
      <c r="G70" s="5">
        <v>93</v>
      </c>
      <c r="H70" s="3" t="s">
        <v>12</v>
      </c>
    </row>
    <row r="71" spans="1:8" x14ac:dyDescent="0.3">
      <c r="A71" s="73">
        <v>46188</v>
      </c>
      <c r="B71" s="1" t="s">
        <v>370</v>
      </c>
      <c r="C71" s="1" t="s">
        <v>43</v>
      </c>
      <c r="D71" s="1" t="s">
        <v>9</v>
      </c>
      <c r="E71" s="1" t="s">
        <v>10</v>
      </c>
      <c r="F71" s="1" t="s">
        <v>988</v>
      </c>
      <c r="G71" s="5">
        <v>14257</v>
      </c>
      <c r="H71" s="3" t="s">
        <v>12</v>
      </c>
    </row>
    <row r="72" spans="1:8" x14ac:dyDescent="0.3">
      <c r="A72" s="73">
        <v>46188</v>
      </c>
      <c r="B72" s="1" t="s">
        <v>370</v>
      </c>
      <c r="C72" s="1" t="s">
        <v>43</v>
      </c>
      <c r="D72" s="1" t="s">
        <v>9</v>
      </c>
      <c r="E72" s="1" t="s">
        <v>10</v>
      </c>
      <c r="F72" s="1" t="s">
        <v>989</v>
      </c>
      <c r="G72" s="5">
        <v>761</v>
      </c>
      <c r="H72" s="3" t="s">
        <v>12</v>
      </c>
    </row>
    <row r="73" spans="1:8" x14ac:dyDescent="0.3">
      <c r="A73" s="73">
        <v>46188</v>
      </c>
      <c r="B73" s="1" t="s">
        <v>218</v>
      </c>
      <c r="C73" s="1" t="s">
        <v>8</v>
      </c>
      <c r="D73" s="1" t="s">
        <v>9</v>
      </c>
      <c r="E73" s="1" t="s">
        <v>10</v>
      </c>
      <c r="F73" s="1" t="s">
        <v>990</v>
      </c>
      <c r="G73" s="5">
        <v>55.31</v>
      </c>
      <c r="H73" s="3" t="s">
        <v>12</v>
      </c>
    </row>
    <row r="74" spans="1:8" x14ac:dyDescent="0.3">
      <c r="A74" s="73">
        <v>46188</v>
      </c>
      <c r="B74" s="1" t="s">
        <v>163</v>
      </c>
      <c r="C74" s="1" t="s">
        <v>8</v>
      </c>
      <c r="D74" s="1" t="s">
        <v>9</v>
      </c>
      <c r="E74" s="1" t="s">
        <v>10</v>
      </c>
      <c r="F74" s="1" t="s">
        <v>991</v>
      </c>
      <c r="G74" s="5">
        <v>548</v>
      </c>
      <c r="H74" s="3" t="s">
        <v>12</v>
      </c>
    </row>
    <row r="75" spans="1:8" x14ac:dyDescent="0.3">
      <c r="A75" s="73">
        <v>46186</v>
      </c>
      <c r="B75" s="1" t="s">
        <v>79</v>
      </c>
      <c r="C75" s="1" t="s">
        <v>8</v>
      </c>
      <c r="D75" s="1" t="s">
        <v>9</v>
      </c>
      <c r="E75" s="1" t="s">
        <v>10</v>
      </c>
      <c r="F75" s="1" t="s">
        <v>992</v>
      </c>
      <c r="G75" s="5">
        <v>388</v>
      </c>
      <c r="H75" s="3" t="s">
        <v>12</v>
      </c>
    </row>
    <row r="76" spans="1:8" x14ac:dyDescent="0.3">
      <c r="A76" s="73">
        <v>46185</v>
      </c>
      <c r="B76" s="1" t="s">
        <v>79</v>
      </c>
      <c r="C76" s="1" t="s">
        <v>8</v>
      </c>
      <c r="D76" s="1" t="s">
        <v>9</v>
      </c>
      <c r="E76" s="1" t="s">
        <v>10</v>
      </c>
      <c r="F76" s="1" t="s">
        <v>993</v>
      </c>
      <c r="G76" s="5">
        <v>135</v>
      </c>
      <c r="H76" s="3" t="s">
        <v>12</v>
      </c>
    </row>
    <row r="77" spans="1:8" x14ac:dyDescent="0.3">
      <c r="A77" s="73">
        <v>46185</v>
      </c>
      <c r="B77" s="1" t="s">
        <v>34</v>
      </c>
      <c r="C77" s="1" t="s">
        <v>8</v>
      </c>
      <c r="D77" s="1" t="s">
        <v>9</v>
      </c>
      <c r="E77" s="1" t="s">
        <v>10</v>
      </c>
      <c r="F77" s="1" t="s">
        <v>994</v>
      </c>
      <c r="G77" s="5">
        <v>750.01</v>
      </c>
      <c r="H77" s="3" t="s">
        <v>12</v>
      </c>
    </row>
    <row r="78" spans="1:8" x14ac:dyDescent="0.3">
      <c r="A78" s="73">
        <v>46185</v>
      </c>
      <c r="B78" s="1" t="s">
        <v>17</v>
      </c>
      <c r="C78" s="1" t="s">
        <v>8</v>
      </c>
      <c r="D78" s="1" t="s">
        <v>9</v>
      </c>
      <c r="E78" s="1" t="s">
        <v>10</v>
      </c>
      <c r="F78" s="1" t="s">
        <v>995</v>
      </c>
      <c r="G78" s="5">
        <v>327.76</v>
      </c>
      <c r="H78" s="3" t="s">
        <v>12</v>
      </c>
    </row>
    <row r="79" spans="1:8" x14ac:dyDescent="0.3">
      <c r="A79" s="73">
        <v>46185</v>
      </c>
      <c r="B79" s="1" t="s">
        <v>25</v>
      </c>
      <c r="C79" s="1" t="s">
        <v>20</v>
      </c>
      <c r="D79" s="1" t="s">
        <v>9</v>
      </c>
      <c r="E79" s="1" t="s">
        <v>28</v>
      </c>
      <c r="F79" s="1" t="s">
        <v>996</v>
      </c>
      <c r="G79" s="5">
        <v>7845.7</v>
      </c>
      <c r="H79" s="3" t="s">
        <v>12</v>
      </c>
    </row>
    <row r="80" spans="1:8" x14ac:dyDescent="0.3">
      <c r="A80" s="73">
        <v>46185</v>
      </c>
      <c r="B80" s="1" t="s">
        <v>163</v>
      </c>
      <c r="C80" s="1" t="s">
        <v>30</v>
      </c>
      <c r="D80" s="1" t="s">
        <v>9</v>
      </c>
      <c r="E80" s="1" t="s">
        <v>28</v>
      </c>
      <c r="F80" s="1" t="s">
        <v>997</v>
      </c>
      <c r="G80" s="5">
        <v>119.8</v>
      </c>
      <c r="H80" s="3" t="s">
        <v>12</v>
      </c>
    </row>
    <row r="81" spans="1:8" x14ac:dyDescent="0.3">
      <c r="A81" s="73">
        <v>46185</v>
      </c>
      <c r="B81" s="1" t="s">
        <v>25</v>
      </c>
      <c r="C81" s="1" t="s">
        <v>20</v>
      </c>
      <c r="D81" s="1" t="s">
        <v>9</v>
      </c>
      <c r="E81" s="1" t="s">
        <v>10</v>
      </c>
      <c r="F81" s="1" t="s">
        <v>996</v>
      </c>
      <c r="G81" s="5">
        <v>158983.6</v>
      </c>
      <c r="H81" s="3" t="s">
        <v>12</v>
      </c>
    </row>
    <row r="82" spans="1:8" x14ac:dyDescent="0.3">
      <c r="A82" s="73">
        <v>46185</v>
      </c>
      <c r="B82" s="1" t="s">
        <v>55</v>
      </c>
      <c r="C82" s="1" t="s">
        <v>20</v>
      </c>
      <c r="D82" s="1" t="s">
        <v>9</v>
      </c>
      <c r="E82" s="1" t="s">
        <v>28</v>
      </c>
      <c r="F82" s="1" t="s">
        <v>931</v>
      </c>
      <c r="G82" s="5">
        <v>1160</v>
      </c>
      <c r="H82" s="3" t="s">
        <v>12</v>
      </c>
    </row>
    <row r="83" spans="1:8" x14ac:dyDescent="0.3">
      <c r="A83" s="73">
        <v>46184</v>
      </c>
      <c r="B83" s="1" t="s">
        <v>34</v>
      </c>
      <c r="C83" s="1" t="s">
        <v>8</v>
      </c>
      <c r="D83" s="1" t="s">
        <v>9</v>
      </c>
      <c r="E83" s="1" t="s">
        <v>10</v>
      </c>
      <c r="F83" s="1" t="s">
        <v>998</v>
      </c>
      <c r="G83" s="5">
        <v>1709.92</v>
      </c>
      <c r="H83" s="3" t="s">
        <v>12</v>
      </c>
    </row>
    <row r="84" spans="1:8" x14ac:dyDescent="0.3">
      <c r="A84" s="73">
        <v>46184</v>
      </c>
      <c r="B84" s="1" t="s">
        <v>218</v>
      </c>
      <c r="C84" s="1" t="s">
        <v>8</v>
      </c>
      <c r="D84" s="1" t="s">
        <v>9</v>
      </c>
      <c r="E84" s="1" t="s">
        <v>10</v>
      </c>
      <c r="F84" s="1" t="s">
        <v>999</v>
      </c>
      <c r="G84" s="5">
        <v>164.9</v>
      </c>
      <c r="H84" s="3" t="s">
        <v>12</v>
      </c>
    </row>
    <row r="85" spans="1:8" x14ac:dyDescent="0.3">
      <c r="A85" s="73">
        <v>46184</v>
      </c>
      <c r="B85" s="1" t="s">
        <v>22</v>
      </c>
      <c r="C85" s="1" t="s">
        <v>8</v>
      </c>
      <c r="D85" s="1" t="s">
        <v>9</v>
      </c>
      <c r="E85" s="1" t="s">
        <v>10</v>
      </c>
      <c r="F85" s="1" t="s">
        <v>1000</v>
      </c>
      <c r="G85" s="5">
        <v>15175.59</v>
      </c>
      <c r="H85" s="3" t="s">
        <v>12</v>
      </c>
    </row>
    <row r="86" spans="1:8" x14ac:dyDescent="0.3">
      <c r="A86" s="73">
        <v>46184</v>
      </c>
      <c r="B86" s="1" t="s">
        <v>226</v>
      </c>
      <c r="C86" s="1" t="s">
        <v>8</v>
      </c>
      <c r="D86" s="1" t="s">
        <v>9</v>
      </c>
      <c r="E86" s="1" t="s">
        <v>10</v>
      </c>
      <c r="F86" s="1" t="s">
        <v>1001</v>
      </c>
      <c r="G86" s="5">
        <v>24484.52</v>
      </c>
      <c r="H86" s="3" t="s">
        <v>12</v>
      </c>
    </row>
    <row r="87" spans="1:8" x14ac:dyDescent="0.3">
      <c r="A87" s="73">
        <v>46184</v>
      </c>
      <c r="B87" s="1" t="s">
        <v>226</v>
      </c>
      <c r="C87" s="1" t="s">
        <v>8</v>
      </c>
      <c r="D87" s="1" t="s">
        <v>9</v>
      </c>
      <c r="E87" s="1" t="s">
        <v>10</v>
      </c>
      <c r="F87" s="1" t="s">
        <v>1002</v>
      </c>
      <c r="G87" s="5">
        <v>46068.46</v>
      </c>
      <c r="H87" s="3" t="s">
        <v>12</v>
      </c>
    </row>
    <row r="88" spans="1:8" x14ac:dyDescent="0.3">
      <c r="A88" s="73">
        <v>46183</v>
      </c>
      <c r="B88" s="1" t="s">
        <v>218</v>
      </c>
      <c r="C88" s="1" t="s">
        <v>8</v>
      </c>
      <c r="D88" s="1" t="s">
        <v>9</v>
      </c>
      <c r="E88" s="1" t="s">
        <v>10</v>
      </c>
      <c r="F88" s="1" t="s">
        <v>1003</v>
      </c>
      <c r="G88" s="5">
        <v>978.09</v>
      </c>
      <c r="H88" s="3" t="s">
        <v>12</v>
      </c>
    </row>
    <row r="89" spans="1:8" x14ac:dyDescent="0.3">
      <c r="A89" s="73">
        <v>46183</v>
      </c>
      <c r="B89" s="1" t="s">
        <v>218</v>
      </c>
      <c r="C89" s="1" t="s">
        <v>8</v>
      </c>
      <c r="D89" s="1" t="s">
        <v>9</v>
      </c>
      <c r="E89" s="1" t="s">
        <v>28</v>
      </c>
      <c r="F89" s="1" t="s">
        <v>1003</v>
      </c>
      <c r="G89" s="5">
        <v>978.09</v>
      </c>
      <c r="H89" s="3" t="s">
        <v>12</v>
      </c>
    </row>
    <row r="90" spans="1:8" x14ac:dyDescent="0.3">
      <c r="A90" s="73">
        <v>46183</v>
      </c>
      <c r="B90" s="1" t="s">
        <v>55</v>
      </c>
      <c r="C90" s="1" t="s">
        <v>8</v>
      </c>
      <c r="D90" s="1" t="s">
        <v>9</v>
      </c>
      <c r="E90" s="1" t="s">
        <v>10</v>
      </c>
      <c r="F90" s="1" t="s">
        <v>1004</v>
      </c>
      <c r="G90" s="5">
        <v>14580</v>
      </c>
      <c r="H90" s="3" t="s">
        <v>12</v>
      </c>
    </row>
    <row r="91" spans="1:8" x14ac:dyDescent="0.3">
      <c r="A91" s="73">
        <v>46183</v>
      </c>
      <c r="B91" s="1" t="s">
        <v>34</v>
      </c>
      <c r="C91" s="1" t="s">
        <v>8</v>
      </c>
      <c r="D91" s="1" t="s">
        <v>9</v>
      </c>
      <c r="E91" s="1" t="s">
        <v>10</v>
      </c>
      <c r="F91" s="1" t="s">
        <v>1005</v>
      </c>
      <c r="G91" s="5">
        <v>2050.0500000000002</v>
      </c>
      <c r="H91" s="3" t="s">
        <v>12</v>
      </c>
    </row>
    <row r="92" spans="1:8" x14ac:dyDescent="0.3">
      <c r="A92" s="73">
        <v>46183</v>
      </c>
      <c r="B92" s="1" t="s">
        <v>29</v>
      </c>
      <c r="C92" s="1" t="s">
        <v>102</v>
      </c>
      <c r="D92" s="1" t="s">
        <v>23</v>
      </c>
      <c r="E92" s="1" t="s">
        <v>10</v>
      </c>
      <c r="F92" s="1" t="s">
        <v>1006</v>
      </c>
      <c r="G92" s="5">
        <v>1499</v>
      </c>
      <c r="H92" s="3" t="s">
        <v>12</v>
      </c>
    </row>
    <row r="93" spans="1:8" x14ac:dyDescent="0.3">
      <c r="A93" s="73">
        <v>46183</v>
      </c>
      <c r="B93" s="1" t="s">
        <v>163</v>
      </c>
      <c r="C93" s="1" t="s">
        <v>8</v>
      </c>
      <c r="D93" s="1" t="s">
        <v>9</v>
      </c>
      <c r="E93" s="1" t="s">
        <v>10</v>
      </c>
      <c r="F93" s="1" t="s">
        <v>1007</v>
      </c>
      <c r="G93" s="5">
        <v>549</v>
      </c>
      <c r="H93" s="3" t="s">
        <v>12</v>
      </c>
    </row>
    <row r="94" spans="1:8" x14ac:dyDescent="0.3">
      <c r="A94" s="73">
        <v>46183</v>
      </c>
      <c r="B94" s="1" t="s">
        <v>60</v>
      </c>
      <c r="C94" s="1" t="s">
        <v>8</v>
      </c>
      <c r="D94" s="1" t="s">
        <v>9</v>
      </c>
      <c r="E94" s="1" t="s">
        <v>10</v>
      </c>
      <c r="F94" s="1" t="s">
        <v>1008</v>
      </c>
      <c r="G94" s="5">
        <v>696</v>
      </c>
      <c r="H94" s="3" t="s">
        <v>12</v>
      </c>
    </row>
    <row r="95" spans="1:8" x14ac:dyDescent="0.3">
      <c r="A95" s="73">
        <v>46182</v>
      </c>
      <c r="B95" s="1" t="s">
        <v>34</v>
      </c>
      <c r="C95" s="1" t="s">
        <v>8</v>
      </c>
      <c r="D95" s="1" t="s">
        <v>9</v>
      </c>
      <c r="E95" s="1" t="s">
        <v>10</v>
      </c>
      <c r="F95" s="1" t="s">
        <v>1009</v>
      </c>
      <c r="G95" s="5">
        <v>800</v>
      </c>
      <c r="H95" s="3" t="s">
        <v>12</v>
      </c>
    </row>
    <row r="96" spans="1:8" x14ac:dyDescent="0.3">
      <c r="A96" s="73">
        <v>46182</v>
      </c>
      <c r="B96" s="1" t="s">
        <v>34</v>
      </c>
      <c r="C96" s="1" t="s">
        <v>8</v>
      </c>
      <c r="D96" s="1" t="s">
        <v>9</v>
      </c>
      <c r="E96" s="1" t="s">
        <v>10</v>
      </c>
      <c r="F96" s="1" t="s">
        <v>1010</v>
      </c>
      <c r="G96" s="5">
        <v>10100.280000000001</v>
      </c>
      <c r="H96" s="3" t="s">
        <v>12</v>
      </c>
    </row>
    <row r="97" spans="1:8" x14ac:dyDescent="0.3">
      <c r="A97" s="73">
        <v>46182</v>
      </c>
      <c r="B97" s="1" t="s">
        <v>50</v>
      </c>
      <c r="C97" s="1" t="s">
        <v>8</v>
      </c>
      <c r="D97" s="1" t="s">
        <v>9</v>
      </c>
      <c r="E97" s="1" t="s">
        <v>10</v>
      </c>
      <c r="F97" s="1" t="s">
        <v>1011</v>
      </c>
      <c r="G97" s="5">
        <v>523.57000000000005</v>
      </c>
      <c r="H97" s="3" t="s">
        <v>12</v>
      </c>
    </row>
    <row r="98" spans="1:8" x14ac:dyDescent="0.3">
      <c r="A98" s="73">
        <v>46182</v>
      </c>
      <c r="B98" s="1" t="s">
        <v>34</v>
      </c>
      <c r="C98" s="1" t="s">
        <v>8</v>
      </c>
      <c r="D98" s="1" t="s">
        <v>9</v>
      </c>
      <c r="E98" s="1" t="s">
        <v>10</v>
      </c>
      <c r="F98" s="1" t="s">
        <v>1012</v>
      </c>
      <c r="G98" s="5">
        <v>2091.5100000000002</v>
      </c>
      <c r="H98" s="3" t="s">
        <v>12</v>
      </c>
    </row>
    <row r="99" spans="1:8" x14ac:dyDescent="0.3">
      <c r="A99" s="73">
        <v>46182</v>
      </c>
      <c r="B99" s="1" t="s">
        <v>34</v>
      </c>
      <c r="C99" s="1" t="s">
        <v>8</v>
      </c>
      <c r="D99" s="1" t="s">
        <v>9</v>
      </c>
      <c r="E99" s="1" t="s">
        <v>10</v>
      </c>
      <c r="F99" s="1" t="s">
        <v>1013</v>
      </c>
      <c r="G99" s="5">
        <v>500</v>
      </c>
      <c r="H99" s="3" t="s">
        <v>12</v>
      </c>
    </row>
    <row r="100" spans="1:8" x14ac:dyDescent="0.3">
      <c r="A100" s="73">
        <v>46182</v>
      </c>
      <c r="B100" s="1" t="s">
        <v>29</v>
      </c>
      <c r="C100" s="1" t="s">
        <v>102</v>
      </c>
      <c r="D100" s="1" t="s">
        <v>23</v>
      </c>
      <c r="E100" s="1" t="s">
        <v>10</v>
      </c>
      <c r="F100" s="1" t="s">
        <v>1014</v>
      </c>
      <c r="G100" s="5">
        <v>255</v>
      </c>
      <c r="H100" s="3" t="s">
        <v>12</v>
      </c>
    </row>
    <row r="101" spans="1:8" x14ac:dyDescent="0.3">
      <c r="A101" s="73">
        <v>46182</v>
      </c>
      <c r="B101" s="1" t="s">
        <v>79</v>
      </c>
      <c r="C101" s="1" t="s">
        <v>8</v>
      </c>
      <c r="D101" s="1" t="s">
        <v>9</v>
      </c>
      <c r="E101" s="1" t="s">
        <v>10</v>
      </c>
      <c r="F101" s="1" t="s">
        <v>1015</v>
      </c>
      <c r="G101" s="5">
        <v>125</v>
      </c>
      <c r="H101" s="3" t="s">
        <v>12</v>
      </c>
    </row>
    <row r="102" spans="1:8" x14ac:dyDescent="0.3">
      <c r="A102" s="73">
        <v>46182</v>
      </c>
      <c r="B102" s="1" t="s">
        <v>218</v>
      </c>
      <c r="C102" s="1" t="s">
        <v>8</v>
      </c>
      <c r="D102" s="1" t="s">
        <v>9</v>
      </c>
      <c r="E102" s="1" t="s">
        <v>10</v>
      </c>
      <c r="F102" s="1" t="s">
        <v>1016</v>
      </c>
      <c r="G102" s="5">
        <v>132.9</v>
      </c>
      <c r="H102" s="3" t="s">
        <v>12</v>
      </c>
    </row>
    <row r="103" spans="1:8" x14ac:dyDescent="0.3">
      <c r="A103" s="73">
        <v>46182</v>
      </c>
      <c r="B103" s="1" t="s">
        <v>13</v>
      </c>
      <c r="C103" s="1" t="s">
        <v>8</v>
      </c>
      <c r="D103" s="1" t="s">
        <v>9</v>
      </c>
      <c r="E103" s="1" t="s">
        <v>10</v>
      </c>
      <c r="F103" s="1" t="s">
        <v>1017</v>
      </c>
      <c r="G103" s="5">
        <v>320</v>
      </c>
      <c r="H103" s="3" t="s">
        <v>12</v>
      </c>
    </row>
    <row r="104" spans="1:8" x14ac:dyDescent="0.3">
      <c r="A104" s="73">
        <v>46181</v>
      </c>
      <c r="B104" s="1" t="s">
        <v>79</v>
      </c>
      <c r="C104" s="1" t="s">
        <v>30</v>
      </c>
      <c r="D104" s="1" t="s">
        <v>9</v>
      </c>
      <c r="E104" s="1" t="s">
        <v>10</v>
      </c>
      <c r="F104" s="1" t="s">
        <v>1018</v>
      </c>
      <c r="G104" s="5">
        <v>218</v>
      </c>
      <c r="H104" s="3" t="s">
        <v>12</v>
      </c>
    </row>
    <row r="105" spans="1:8" x14ac:dyDescent="0.3">
      <c r="A105" s="73">
        <v>46181</v>
      </c>
      <c r="B105" s="1" t="s">
        <v>34</v>
      </c>
      <c r="C105" s="1" t="s">
        <v>8</v>
      </c>
      <c r="D105" s="1" t="s">
        <v>9</v>
      </c>
      <c r="E105" s="1" t="s">
        <v>10</v>
      </c>
      <c r="F105" s="1" t="s">
        <v>1019</v>
      </c>
      <c r="G105" s="5">
        <v>800</v>
      </c>
      <c r="H105" s="3" t="s">
        <v>12</v>
      </c>
    </row>
    <row r="106" spans="1:8" x14ac:dyDescent="0.3">
      <c r="A106" s="73">
        <v>46181</v>
      </c>
      <c r="B106" s="1" t="s">
        <v>163</v>
      </c>
      <c r="C106" s="1" t="s">
        <v>8</v>
      </c>
      <c r="D106" s="1" t="s">
        <v>9</v>
      </c>
      <c r="E106" s="1" t="s">
        <v>10</v>
      </c>
      <c r="F106" s="1" t="s">
        <v>1020</v>
      </c>
      <c r="G106" s="5">
        <v>147.86000000000001</v>
      </c>
      <c r="H106" s="3" t="s">
        <v>12</v>
      </c>
    </row>
    <row r="107" spans="1:8" x14ac:dyDescent="0.3">
      <c r="A107" s="73">
        <v>46180</v>
      </c>
      <c r="B107" s="1" t="s">
        <v>34</v>
      </c>
      <c r="C107" s="1" t="s">
        <v>8</v>
      </c>
      <c r="D107" s="1" t="s">
        <v>9</v>
      </c>
      <c r="E107" s="1" t="s">
        <v>10</v>
      </c>
      <c r="F107" s="1" t="s">
        <v>1021</v>
      </c>
      <c r="G107" s="5">
        <v>500</v>
      </c>
      <c r="H107" s="3" t="s">
        <v>12</v>
      </c>
    </row>
    <row r="108" spans="1:8" x14ac:dyDescent="0.3">
      <c r="A108" s="73">
        <v>46178</v>
      </c>
      <c r="B108" s="1" t="s">
        <v>25</v>
      </c>
      <c r="C108" s="1" t="s">
        <v>20</v>
      </c>
      <c r="D108" s="1" t="s">
        <v>9</v>
      </c>
      <c r="E108" s="1" t="s">
        <v>28</v>
      </c>
      <c r="F108" s="1" t="s">
        <v>1022</v>
      </c>
      <c r="G108" s="5">
        <v>7893.98</v>
      </c>
      <c r="H108" s="3" t="s">
        <v>12</v>
      </c>
    </row>
    <row r="109" spans="1:8" x14ac:dyDescent="0.3">
      <c r="A109" s="73">
        <v>46178</v>
      </c>
      <c r="B109" s="1" t="s">
        <v>79</v>
      </c>
      <c r="C109" s="1" t="s">
        <v>8</v>
      </c>
      <c r="D109" s="1" t="s">
        <v>9</v>
      </c>
      <c r="E109" s="1" t="s">
        <v>10</v>
      </c>
      <c r="F109" s="1" t="s">
        <v>1023</v>
      </c>
      <c r="G109" s="5">
        <v>779</v>
      </c>
      <c r="H109" s="3" t="s">
        <v>12</v>
      </c>
    </row>
    <row r="110" spans="1:8" x14ac:dyDescent="0.3">
      <c r="A110" s="73">
        <v>46178</v>
      </c>
      <c r="B110" s="1" t="s">
        <v>7</v>
      </c>
      <c r="C110" s="1" t="s">
        <v>8</v>
      </c>
      <c r="D110" s="1" t="s">
        <v>9</v>
      </c>
      <c r="E110" s="1" t="s">
        <v>10</v>
      </c>
      <c r="F110" s="1" t="s">
        <v>1024</v>
      </c>
      <c r="G110" s="5">
        <v>215</v>
      </c>
      <c r="H110" s="3" t="s">
        <v>12</v>
      </c>
    </row>
    <row r="111" spans="1:8" x14ac:dyDescent="0.3">
      <c r="A111" s="73">
        <v>46178</v>
      </c>
      <c r="B111" s="1" t="s">
        <v>17</v>
      </c>
      <c r="C111" s="1" t="s">
        <v>20</v>
      </c>
      <c r="D111" s="1" t="s">
        <v>9</v>
      </c>
      <c r="E111" s="1" t="s">
        <v>10</v>
      </c>
      <c r="F111" s="1" t="s">
        <v>1025</v>
      </c>
      <c r="G111" s="5">
        <v>313.51</v>
      </c>
      <c r="H111" s="3" t="s">
        <v>12</v>
      </c>
    </row>
    <row r="112" spans="1:8" x14ac:dyDescent="0.3">
      <c r="A112" s="73">
        <v>46178</v>
      </c>
      <c r="B112" s="1" t="s">
        <v>34</v>
      </c>
      <c r="C112" s="1" t="s">
        <v>8</v>
      </c>
      <c r="D112" s="1" t="s">
        <v>9</v>
      </c>
      <c r="E112" s="1" t="s">
        <v>10</v>
      </c>
      <c r="F112" s="1" t="s">
        <v>1026</v>
      </c>
      <c r="G112" s="5">
        <v>1270.54</v>
      </c>
      <c r="H112" s="3" t="s">
        <v>12</v>
      </c>
    </row>
    <row r="113" spans="1:8" x14ac:dyDescent="0.3">
      <c r="A113" s="73">
        <v>46178</v>
      </c>
      <c r="B113" s="1" t="s">
        <v>7</v>
      </c>
      <c r="C113" s="1" t="s">
        <v>8</v>
      </c>
      <c r="D113" s="1" t="s">
        <v>9</v>
      </c>
      <c r="E113" s="1" t="s">
        <v>10</v>
      </c>
      <c r="F113" s="1" t="s">
        <v>1027</v>
      </c>
      <c r="G113" s="5">
        <v>441</v>
      </c>
      <c r="H113" s="3" t="s">
        <v>12</v>
      </c>
    </row>
    <row r="114" spans="1:8" x14ac:dyDescent="0.3">
      <c r="A114" s="73">
        <v>46178</v>
      </c>
      <c r="B114" s="1" t="s">
        <v>226</v>
      </c>
      <c r="C114" s="1" t="s">
        <v>8</v>
      </c>
      <c r="D114" s="1" t="s">
        <v>9</v>
      </c>
      <c r="E114" s="1" t="s">
        <v>10</v>
      </c>
      <c r="F114" s="1" t="s">
        <v>1028</v>
      </c>
      <c r="G114" s="5">
        <v>9477.2900000000009</v>
      </c>
      <c r="H114" s="3" t="s">
        <v>12</v>
      </c>
    </row>
    <row r="115" spans="1:8" x14ac:dyDescent="0.3">
      <c r="A115" s="73">
        <v>46178</v>
      </c>
      <c r="B115" s="1" t="s">
        <v>25</v>
      </c>
      <c r="C115" s="1" t="s">
        <v>20</v>
      </c>
      <c r="D115" s="1" t="s">
        <v>9</v>
      </c>
      <c r="E115" s="1" t="s">
        <v>10</v>
      </c>
      <c r="F115" s="1" t="s">
        <v>1022</v>
      </c>
      <c r="G115" s="5">
        <v>163175.21</v>
      </c>
      <c r="H115" s="3" t="s">
        <v>12</v>
      </c>
    </row>
    <row r="116" spans="1:8" x14ac:dyDescent="0.3">
      <c r="A116" s="73">
        <v>46177</v>
      </c>
      <c r="B116" s="1" t="s">
        <v>50</v>
      </c>
      <c r="C116" s="1" t="s">
        <v>8</v>
      </c>
      <c r="D116" s="1" t="s">
        <v>9</v>
      </c>
      <c r="E116" s="1" t="s">
        <v>28</v>
      </c>
      <c r="F116" s="1" t="s">
        <v>1029</v>
      </c>
      <c r="G116" s="5">
        <v>46.5</v>
      </c>
      <c r="H116" s="3" t="s">
        <v>12</v>
      </c>
    </row>
    <row r="117" spans="1:8" x14ac:dyDescent="0.3">
      <c r="A117" s="73">
        <v>46177</v>
      </c>
      <c r="B117" s="1" t="s">
        <v>34</v>
      </c>
      <c r="C117" s="1" t="s">
        <v>8</v>
      </c>
      <c r="D117" s="1" t="s">
        <v>9</v>
      </c>
      <c r="E117" s="1" t="s">
        <v>10</v>
      </c>
      <c r="F117" s="1" t="s">
        <v>1030</v>
      </c>
      <c r="G117" s="5">
        <v>680.21</v>
      </c>
      <c r="H117" s="3" t="s">
        <v>12</v>
      </c>
    </row>
    <row r="118" spans="1:8" x14ac:dyDescent="0.3">
      <c r="A118" s="73">
        <v>46177</v>
      </c>
      <c r="B118" s="1" t="s">
        <v>7</v>
      </c>
      <c r="C118" s="1" t="s">
        <v>8</v>
      </c>
      <c r="D118" s="1" t="s">
        <v>9</v>
      </c>
      <c r="E118" s="1" t="s">
        <v>10</v>
      </c>
      <c r="F118" s="1" t="s">
        <v>1031</v>
      </c>
      <c r="G118" s="5">
        <v>375</v>
      </c>
      <c r="H118" s="3" t="s">
        <v>12</v>
      </c>
    </row>
    <row r="119" spans="1:8" x14ac:dyDescent="0.3">
      <c r="A119" s="73">
        <v>46177</v>
      </c>
      <c r="B119" s="1" t="s">
        <v>45</v>
      </c>
      <c r="C119" s="1" t="s">
        <v>8</v>
      </c>
      <c r="D119" s="1" t="s">
        <v>9</v>
      </c>
      <c r="E119" s="1" t="s">
        <v>10</v>
      </c>
      <c r="F119" s="1" t="s">
        <v>236</v>
      </c>
      <c r="G119" s="5">
        <v>769.44</v>
      </c>
      <c r="H119" s="3" t="s">
        <v>12</v>
      </c>
    </row>
    <row r="120" spans="1:8" x14ac:dyDescent="0.3">
      <c r="A120" s="73">
        <v>46177</v>
      </c>
      <c r="B120" s="1" t="s">
        <v>255</v>
      </c>
      <c r="C120" s="1" t="s">
        <v>30</v>
      </c>
      <c r="D120" s="1" t="s">
        <v>23</v>
      </c>
      <c r="E120" s="1" t="s">
        <v>10</v>
      </c>
      <c r="F120" s="1" t="s">
        <v>1032</v>
      </c>
      <c r="G120" s="5">
        <v>195</v>
      </c>
      <c r="H120" s="3" t="s">
        <v>12</v>
      </c>
    </row>
    <row r="121" spans="1:8" x14ac:dyDescent="0.3">
      <c r="A121" s="73">
        <v>46176</v>
      </c>
      <c r="B121" s="1" t="s">
        <v>163</v>
      </c>
      <c r="C121" s="1" t="s">
        <v>8</v>
      </c>
      <c r="D121" s="1" t="s">
        <v>9</v>
      </c>
      <c r="E121" s="1" t="s">
        <v>10</v>
      </c>
      <c r="F121" s="1" t="s">
        <v>1033</v>
      </c>
      <c r="G121" s="5">
        <v>480.8</v>
      </c>
      <c r="H121" s="3" t="s">
        <v>12</v>
      </c>
    </row>
    <row r="122" spans="1:8" x14ac:dyDescent="0.3">
      <c r="A122" s="73">
        <v>46176</v>
      </c>
      <c r="B122" s="1" t="s">
        <v>79</v>
      </c>
      <c r="C122" s="1" t="s">
        <v>8</v>
      </c>
      <c r="D122" s="1" t="s">
        <v>9</v>
      </c>
      <c r="E122" s="1" t="s">
        <v>10</v>
      </c>
      <c r="F122" s="1" t="s">
        <v>1034</v>
      </c>
      <c r="G122" s="5">
        <v>2262</v>
      </c>
      <c r="H122" s="3" t="s">
        <v>12</v>
      </c>
    </row>
    <row r="123" spans="1:8" x14ac:dyDescent="0.3">
      <c r="A123" s="73">
        <v>46176</v>
      </c>
      <c r="B123" s="1" t="s">
        <v>29</v>
      </c>
      <c r="C123" s="1" t="s">
        <v>8</v>
      </c>
      <c r="D123" s="1" t="s">
        <v>9</v>
      </c>
      <c r="E123" s="1" t="s">
        <v>10</v>
      </c>
      <c r="F123" s="1" t="s">
        <v>1035</v>
      </c>
      <c r="G123" s="5">
        <v>2470</v>
      </c>
      <c r="H123" s="3" t="s">
        <v>12</v>
      </c>
    </row>
    <row r="124" spans="1:8" x14ac:dyDescent="0.3">
      <c r="A124" s="73">
        <v>46176</v>
      </c>
      <c r="B124" s="1" t="s">
        <v>29</v>
      </c>
      <c r="C124" s="1" t="s">
        <v>8</v>
      </c>
      <c r="D124" s="1" t="s">
        <v>9</v>
      </c>
      <c r="E124" s="1" t="s">
        <v>10</v>
      </c>
      <c r="F124" s="1" t="s">
        <v>1036</v>
      </c>
      <c r="G124" s="5">
        <v>6650.38</v>
      </c>
      <c r="H124" s="3" t="s">
        <v>12</v>
      </c>
    </row>
    <row r="125" spans="1:8" x14ac:dyDescent="0.3">
      <c r="A125" s="73">
        <v>46176</v>
      </c>
      <c r="B125" s="1" t="s">
        <v>169</v>
      </c>
      <c r="C125" s="1" t="s">
        <v>20</v>
      </c>
      <c r="D125" s="1" t="s">
        <v>9</v>
      </c>
      <c r="E125" s="1" t="s">
        <v>10</v>
      </c>
      <c r="F125" s="1" t="s">
        <v>1037</v>
      </c>
      <c r="G125" s="5">
        <v>3262.33</v>
      </c>
      <c r="H125" s="3" t="s">
        <v>12</v>
      </c>
    </row>
    <row r="126" spans="1:8" x14ac:dyDescent="0.3">
      <c r="A126" s="73">
        <v>46176</v>
      </c>
      <c r="B126" s="1" t="s">
        <v>50</v>
      </c>
      <c r="C126" s="1" t="s">
        <v>8</v>
      </c>
      <c r="D126" s="1" t="s">
        <v>9</v>
      </c>
      <c r="E126" s="1" t="s">
        <v>10</v>
      </c>
      <c r="F126" s="1" t="s">
        <v>1038</v>
      </c>
      <c r="G126" s="5">
        <v>264</v>
      </c>
      <c r="H126" s="3" t="s">
        <v>12</v>
      </c>
    </row>
    <row r="127" spans="1:8" x14ac:dyDescent="0.3">
      <c r="A127" s="73">
        <v>46176</v>
      </c>
      <c r="B127" s="1" t="s">
        <v>13</v>
      </c>
      <c r="C127" s="1" t="s">
        <v>8</v>
      </c>
      <c r="D127" s="1" t="s">
        <v>9</v>
      </c>
      <c r="E127" s="1" t="s">
        <v>10</v>
      </c>
      <c r="F127" s="1" t="s">
        <v>1039</v>
      </c>
      <c r="G127" s="5">
        <v>3940</v>
      </c>
      <c r="H127" s="3" t="s">
        <v>12</v>
      </c>
    </row>
    <row r="128" spans="1:8" x14ac:dyDescent="0.3">
      <c r="A128" s="73">
        <v>46176</v>
      </c>
      <c r="B128" s="1" t="s">
        <v>34</v>
      </c>
      <c r="C128" s="1" t="s">
        <v>8</v>
      </c>
      <c r="D128" s="1" t="s">
        <v>9</v>
      </c>
      <c r="E128" s="1" t="s">
        <v>10</v>
      </c>
      <c r="F128" s="1" t="s">
        <v>1040</v>
      </c>
      <c r="G128" s="5">
        <v>2214.7800000000002</v>
      </c>
      <c r="H128" s="3" t="s">
        <v>12</v>
      </c>
    </row>
    <row r="129" spans="1:8" x14ac:dyDescent="0.3">
      <c r="A129" s="73">
        <v>46175</v>
      </c>
      <c r="B129" s="1" t="s">
        <v>7</v>
      </c>
      <c r="C129" s="1" t="s">
        <v>30</v>
      </c>
      <c r="D129" s="1" t="s">
        <v>9</v>
      </c>
      <c r="E129" s="1" t="s">
        <v>10</v>
      </c>
      <c r="F129" s="1" t="s">
        <v>1041</v>
      </c>
      <c r="G129" s="5">
        <v>95</v>
      </c>
      <c r="H129" s="3" t="s">
        <v>12</v>
      </c>
    </row>
    <row r="130" spans="1:8" x14ac:dyDescent="0.3">
      <c r="A130" s="73">
        <v>46175</v>
      </c>
      <c r="B130" s="1" t="s">
        <v>50</v>
      </c>
      <c r="C130" s="1" t="s">
        <v>8</v>
      </c>
      <c r="D130" s="1" t="s">
        <v>9</v>
      </c>
      <c r="E130" s="1" t="s">
        <v>28</v>
      </c>
      <c r="F130" s="1" t="s">
        <v>1042</v>
      </c>
      <c r="G130" s="5">
        <v>496.6</v>
      </c>
      <c r="H130" s="3" t="s">
        <v>12</v>
      </c>
    </row>
    <row r="131" spans="1:8" x14ac:dyDescent="0.3">
      <c r="A131" s="73">
        <v>46175</v>
      </c>
      <c r="B131" s="1" t="s">
        <v>89</v>
      </c>
      <c r="C131" s="1" t="s">
        <v>8</v>
      </c>
      <c r="D131" s="1" t="s">
        <v>9</v>
      </c>
      <c r="E131" s="1" t="s">
        <v>10</v>
      </c>
      <c r="F131" s="1" t="s">
        <v>1043</v>
      </c>
      <c r="G131" s="5">
        <v>1020</v>
      </c>
      <c r="H131" s="3" t="s">
        <v>12</v>
      </c>
    </row>
    <row r="132" spans="1:8" x14ac:dyDescent="0.3">
      <c r="A132" s="73">
        <v>46175</v>
      </c>
      <c r="B132" s="1" t="s">
        <v>45</v>
      </c>
      <c r="C132" s="1" t="s">
        <v>8</v>
      </c>
      <c r="D132" s="1" t="s">
        <v>9</v>
      </c>
      <c r="E132" s="1" t="s">
        <v>10</v>
      </c>
      <c r="F132" s="1" t="s">
        <v>1044</v>
      </c>
      <c r="G132" s="5">
        <v>1284.97</v>
      </c>
      <c r="H132" s="3" t="s">
        <v>12</v>
      </c>
    </row>
    <row r="133" spans="1:8" x14ac:dyDescent="0.3">
      <c r="A133" s="73">
        <v>46175</v>
      </c>
      <c r="B133" s="1" t="s">
        <v>45</v>
      </c>
      <c r="C133" s="1" t="s">
        <v>8</v>
      </c>
      <c r="D133" s="1" t="s">
        <v>9</v>
      </c>
      <c r="E133" s="1" t="s">
        <v>10</v>
      </c>
      <c r="F133" s="1" t="s">
        <v>423</v>
      </c>
      <c r="G133" s="5">
        <v>1974.6</v>
      </c>
      <c r="H133" s="3" t="s">
        <v>12</v>
      </c>
    </row>
    <row r="134" spans="1:8" x14ac:dyDescent="0.3">
      <c r="A134" s="73">
        <v>46175</v>
      </c>
      <c r="B134" s="1" t="s">
        <v>226</v>
      </c>
      <c r="C134" s="1" t="s">
        <v>102</v>
      </c>
      <c r="D134" s="1" t="s">
        <v>23</v>
      </c>
      <c r="E134" s="1" t="s">
        <v>10</v>
      </c>
      <c r="F134" s="1" t="s">
        <v>620</v>
      </c>
      <c r="G134" s="5">
        <v>3576.76</v>
      </c>
      <c r="H134" s="3" t="s">
        <v>12</v>
      </c>
    </row>
    <row r="135" spans="1:8" x14ac:dyDescent="0.3">
      <c r="A135" s="73">
        <v>46175</v>
      </c>
      <c r="B135" s="1" t="s">
        <v>154</v>
      </c>
      <c r="C135" s="1" t="s">
        <v>8</v>
      </c>
      <c r="D135" s="1" t="s">
        <v>9</v>
      </c>
      <c r="E135" s="1" t="s">
        <v>10</v>
      </c>
      <c r="F135" s="1" t="s">
        <v>1045</v>
      </c>
      <c r="G135" s="5">
        <v>16724.38</v>
      </c>
      <c r="H135" s="3" t="s">
        <v>12</v>
      </c>
    </row>
    <row r="136" spans="1:8" x14ac:dyDescent="0.3">
      <c r="A136" s="73">
        <v>46174</v>
      </c>
      <c r="B136" s="1" t="s">
        <v>163</v>
      </c>
      <c r="C136" s="1" t="s">
        <v>8</v>
      </c>
      <c r="D136" s="1" t="s">
        <v>9</v>
      </c>
      <c r="E136" s="1" t="s">
        <v>10</v>
      </c>
      <c r="F136" s="1" t="s">
        <v>1046</v>
      </c>
      <c r="G136" s="5">
        <v>8360.7099999999991</v>
      </c>
      <c r="H136" s="3" t="s">
        <v>12</v>
      </c>
    </row>
    <row r="137" spans="1:8" x14ac:dyDescent="0.3">
      <c r="A137" s="73">
        <v>46174</v>
      </c>
      <c r="B137" s="1" t="s">
        <v>34</v>
      </c>
      <c r="C137" s="1" t="s">
        <v>8</v>
      </c>
      <c r="D137" s="1" t="s">
        <v>9</v>
      </c>
      <c r="E137" s="1" t="s">
        <v>10</v>
      </c>
      <c r="F137" s="1" t="s">
        <v>1047</v>
      </c>
      <c r="G137" s="5">
        <v>1248.26</v>
      </c>
      <c r="H137" s="3" t="s">
        <v>12</v>
      </c>
    </row>
    <row r="138" spans="1:8" x14ac:dyDescent="0.3">
      <c r="A138" s="73">
        <v>46174</v>
      </c>
      <c r="B138" s="1" t="s">
        <v>34</v>
      </c>
      <c r="C138" s="1" t="s">
        <v>8</v>
      </c>
      <c r="D138" s="1" t="s">
        <v>9</v>
      </c>
      <c r="E138" s="1" t="s">
        <v>10</v>
      </c>
      <c r="F138" s="1" t="s">
        <v>1048</v>
      </c>
      <c r="G138" s="5">
        <v>871.36</v>
      </c>
      <c r="H138" s="3" t="s">
        <v>12</v>
      </c>
    </row>
    <row r="139" spans="1:8" x14ac:dyDescent="0.3">
      <c r="A139" s="73">
        <v>46174</v>
      </c>
      <c r="B139" s="1" t="s">
        <v>34</v>
      </c>
      <c r="C139" s="1" t="s">
        <v>8</v>
      </c>
      <c r="D139" s="1" t="s">
        <v>9</v>
      </c>
      <c r="E139" s="1" t="s">
        <v>10</v>
      </c>
      <c r="F139" s="1" t="s">
        <v>1049</v>
      </c>
      <c r="G139" s="5">
        <v>1091.23</v>
      </c>
      <c r="H139" s="3" t="s">
        <v>12</v>
      </c>
    </row>
    <row r="140" spans="1:8" x14ac:dyDescent="0.3">
      <c r="A140" s="73">
        <v>46174</v>
      </c>
      <c r="B140" s="1" t="s">
        <v>34</v>
      </c>
      <c r="C140" s="1" t="s">
        <v>8</v>
      </c>
      <c r="D140" s="1" t="s">
        <v>9</v>
      </c>
      <c r="E140" s="1" t="s">
        <v>10</v>
      </c>
      <c r="F140" s="1" t="s">
        <v>1050</v>
      </c>
      <c r="G140" s="5">
        <v>1874.86</v>
      </c>
      <c r="H140" s="3" t="s">
        <v>12</v>
      </c>
    </row>
    <row r="141" spans="1:8" x14ac:dyDescent="0.3">
      <c r="A141" s="73">
        <v>46174</v>
      </c>
      <c r="B141" s="1" t="s">
        <v>180</v>
      </c>
      <c r="C141" s="1" t="s">
        <v>8</v>
      </c>
      <c r="D141" s="1" t="s">
        <v>9</v>
      </c>
      <c r="E141" s="1" t="s">
        <v>10</v>
      </c>
      <c r="F141" s="1" t="s">
        <v>1051</v>
      </c>
      <c r="G141" s="5">
        <v>174</v>
      </c>
      <c r="H141" s="3" t="s">
        <v>12</v>
      </c>
    </row>
    <row r="142" spans="1:8" x14ac:dyDescent="0.3">
      <c r="A142" s="73">
        <v>46174</v>
      </c>
      <c r="B142" s="1" t="s">
        <v>34</v>
      </c>
      <c r="C142" s="1" t="s">
        <v>8</v>
      </c>
      <c r="D142" s="1" t="s">
        <v>9</v>
      </c>
      <c r="E142" s="1" t="s">
        <v>10</v>
      </c>
      <c r="F142" s="1" t="s">
        <v>1052</v>
      </c>
      <c r="G142" s="5">
        <v>500</v>
      </c>
      <c r="H142" s="3" t="s">
        <v>12</v>
      </c>
    </row>
    <row r="143" spans="1:8" ht="15" thickBot="1" x14ac:dyDescent="0.35">
      <c r="A143" s="73">
        <v>46174</v>
      </c>
      <c r="B143" s="1" t="s">
        <v>226</v>
      </c>
      <c r="C143" s="1" t="s">
        <v>20</v>
      </c>
      <c r="D143" s="1" t="s">
        <v>9</v>
      </c>
      <c r="E143" s="1" t="s">
        <v>10</v>
      </c>
      <c r="F143" s="1" t="s">
        <v>1053</v>
      </c>
      <c r="G143" s="81">
        <v>9312</v>
      </c>
      <c r="H143" s="3" t="s">
        <v>12</v>
      </c>
    </row>
    <row r="144" spans="1:8" ht="15" thickBot="1" x14ac:dyDescent="0.35">
      <c r="G144" s="82">
        <f>SUM(G2:G143)</f>
        <v>1305267.6300000006</v>
      </c>
    </row>
    <row r="145" spans="7:7" x14ac:dyDescent="0.3">
      <c r="G145">
        <f>SUBTOTAL(9,G9:G130)</f>
        <v>1247191.58</v>
      </c>
    </row>
  </sheetData>
  <autoFilter ref="A1:H144" xr:uid="{3C7058D6-F266-44D1-808F-6288D80BAA3C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6C4F0-A07E-477A-942E-5FEC6264C606}">
  <dimension ref="A1:H169"/>
  <sheetViews>
    <sheetView workbookViewId="0">
      <selection activeCell="E11" sqref="E11"/>
    </sheetView>
  </sheetViews>
  <sheetFormatPr baseColWidth="10" defaultRowHeight="14.4" x14ac:dyDescent="0.3"/>
  <cols>
    <col min="1" max="1" width="18.5546875" customWidth="1"/>
    <col min="2" max="2" width="22.21875" customWidth="1"/>
    <col min="3" max="3" width="25.6640625" customWidth="1"/>
    <col min="4" max="4" width="19.21875" customWidth="1"/>
    <col min="5" max="5" width="21.21875" customWidth="1"/>
    <col min="6" max="6" width="44.21875" customWidth="1"/>
    <col min="7" max="7" width="16" customWidth="1"/>
    <col min="8" max="8" width="11.5546875" style="4"/>
  </cols>
  <sheetData>
    <row r="1" spans="1:8" ht="30" customHeight="1" x14ac:dyDescent="0.3">
      <c r="A1" s="109" t="s">
        <v>0</v>
      </c>
      <c r="B1" s="109" t="s">
        <v>1</v>
      </c>
      <c r="C1" s="109" t="s">
        <v>2</v>
      </c>
      <c r="D1" s="109" t="s">
        <v>238</v>
      </c>
      <c r="E1" s="109" t="s">
        <v>3</v>
      </c>
      <c r="F1" s="109" t="s">
        <v>4</v>
      </c>
      <c r="G1" s="109" t="s">
        <v>5</v>
      </c>
      <c r="H1" s="109" t="s">
        <v>6</v>
      </c>
    </row>
    <row r="2" spans="1:8" x14ac:dyDescent="0.3">
      <c r="A2" s="108">
        <v>46234</v>
      </c>
      <c r="B2" s="1" t="s">
        <v>70</v>
      </c>
      <c r="C2" s="1" t="s">
        <v>20</v>
      </c>
      <c r="D2" s="1" t="s">
        <v>9</v>
      </c>
      <c r="E2" s="1" t="s">
        <v>71</v>
      </c>
      <c r="F2" s="1" t="s">
        <v>1055</v>
      </c>
      <c r="G2" s="5">
        <v>26264.25</v>
      </c>
      <c r="H2" s="3" t="s">
        <v>12</v>
      </c>
    </row>
    <row r="3" spans="1:8" x14ac:dyDescent="0.3">
      <c r="A3" s="108">
        <v>46234</v>
      </c>
      <c r="B3" s="1" t="s">
        <v>81</v>
      </c>
      <c r="C3" s="1" t="s">
        <v>8</v>
      </c>
      <c r="D3" s="1" t="s">
        <v>9</v>
      </c>
      <c r="E3" s="1" t="s">
        <v>10</v>
      </c>
      <c r="F3" s="1" t="s">
        <v>1056</v>
      </c>
      <c r="G3" s="5">
        <v>361</v>
      </c>
      <c r="H3" s="3" t="s">
        <v>12</v>
      </c>
    </row>
    <row r="4" spans="1:8" x14ac:dyDescent="0.3">
      <c r="A4" s="108">
        <v>46234</v>
      </c>
      <c r="B4" s="1" t="s">
        <v>34</v>
      </c>
      <c r="C4" s="1" t="s">
        <v>8</v>
      </c>
      <c r="D4" s="1" t="s">
        <v>9</v>
      </c>
      <c r="E4" s="1" t="s">
        <v>10</v>
      </c>
      <c r="F4" s="1" t="s">
        <v>1057</v>
      </c>
      <c r="G4" s="5">
        <v>500</v>
      </c>
      <c r="H4" s="3" t="s">
        <v>12</v>
      </c>
    </row>
    <row r="5" spans="1:8" x14ac:dyDescent="0.3">
      <c r="A5" s="108">
        <v>46234</v>
      </c>
      <c r="B5" s="1" t="s">
        <v>218</v>
      </c>
      <c r="C5" s="1" t="s">
        <v>30</v>
      </c>
      <c r="D5" s="1" t="s">
        <v>9</v>
      </c>
      <c r="E5" s="1" t="s">
        <v>10</v>
      </c>
      <c r="F5" s="1" t="s">
        <v>1058</v>
      </c>
      <c r="G5" s="5">
        <v>170</v>
      </c>
      <c r="H5" s="3" t="s">
        <v>12</v>
      </c>
    </row>
    <row r="6" spans="1:8" x14ac:dyDescent="0.3">
      <c r="A6" s="108">
        <v>46234</v>
      </c>
      <c r="B6" s="1" t="s">
        <v>17</v>
      </c>
      <c r="C6" s="1" t="s">
        <v>20</v>
      </c>
      <c r="D6" s="1" t="s">
        <v>9</v>
      </c>
      <c r="E6" s="1" t="s">
        <v>10</v>
      </c>
      <c r="F6" s="1" t="s">
        <v>1059</v>
      </c>
      <c r="G6" s="5">
        <v>342</v>
      </c>
      <c r="H6" s="3" t="s">
        <v>12</v>
      </c>
    </row>
    <row r="7" spans="1:8" x14ac:dyDescent="0.3">
      <c r="A7" s="108">
        <v>46234</v>
      </c>
      <c r="B7" s="1" t="s">
        <v>34</v>
      </c>
      <c r="C7" s="1" t="s">
        <v>8</v>
      </c>
      <c r="D7" s="1" t="s">
        <v>9</v>
      </c>
      <c r="E7" s="1" t="s">
        <v>10</v>
      </c>
      <c r="F7" s="1" t="s">
        <v>1060</v>
      </c>
      <c r="G7" s="5">
        <v>154.5</v>
      </c>
      <c r="H7" s="3" t="s">
        <v>12</v>
      </c>
    </row>
    <row r="8" spans="1:8" x14ac:dyDescent="0.3">
      <c r="A8" s="108">
        <v>46234</v>
      </c>
      <c r="B8" s="1" t="s">
        <v>25</v>
      </c>
      <c r="C8" s="1" t="s">
        <v>43</v>
      </c>
      <c r="D8" s="1" t="s">
        <v>9</v>
      </c>
      <c r="E8" s="1" t="s">
        <v>26</v>
      </c>
      <c r="F8" s="1" t="s">
        <v>1061</v>
      </c>
      <c r="G8" s="5">
        <v>15528.2</v>
      </c>
      <c r="H8" s="3" t="s">
        <v>12</v>
      </c>
    </row>
    <row r="9" spans="1:8" x14ac:dyDescent="0.3">
      <c r="A9" s="108">
        <v>46234</v>
      </c>
      <c r="B9" s="1" t="s">
        <v>163</v>
      </c>
      <c r="C9" s="1" t="s">
        <v>8</v>
      </c>
      <c r="D9" s="1" t="s">
        <v>9</v>
      </c>
      <c r="E9" s="1" t="s">
        <v>10</v>
      </c>
      <c r="F9" s="1" t="s">
        <v>1062</v>
      </c>
      <c r="G9" s="5">
        <v>2189.4</v>
      </c>
      <c r="H9" s="3" t="s">
        <v>12</v>
      </c>
    </row>
    <row r="10" spans="1:8" x14ac:dyDescent="0.3">
      <c r="A10" s="108">
        <v>46234</v>
      </c>
      <c r="B10" s="1" t="s">
        <v>163</v>
      </c>
      <c r="C10" s="1" t="s">
        <v>8</v>
      </c>
      <c r="D10" s="1" t="s">
        <v>9</v>
      </c>
      <c r="E10" s="1" t="s">
        <v>10</v>
      </c>
      <c r="F10" s="1" t="s">
        <v>1063</v>
      </c>
      <c r="G10" s="5">
        <v>90</v>
      </c>
      <c r="H10" s="3" t="s">
        <v>12</v>
      </c>
    </row>
    <row r="11" spans="1:8" x14ac:dyDescent="0.3">
      <c r="A11" s="108">
        <v>46234</v>
      </c>
      <c r="B11" s="1" t="s">
        <v>25</v>
      </c>
      <c r="C11" s="1" t="s">
        <v>20</v>
      </c>
      <c r="D11" s="1" t="s">
        <v>9</v>
      </c>
      <c r="E11" s="1" t="s">
        <v>28</v>
      </c>
      <c r="F11" s="1" t="s">
        <v>1064</v>
      </c>
      <c r="G11" s="5">
        <v>10078.700000000001</v>
      </c>
      <c r="H11" s="3" t="s">
        <v>12</v>
      </c>
    </row>
    <row r="12" spans="1:8" x14ac:dyDescent="0.3">
      <c r="A12" s="108">
        <v>46234</v>
      </c>
      <c r="B12" s="1" t="s">
        <v>25</v>
      </c>
      <c r="C12" s="1" t="s">
        <v>20</v>
      </c>
      <c r="D12" s="1" t="s">
        <v>9</v>
      </c>
      <c r="E12" s="1" t="s">
        <v>26</v>
      </c>
      <c r="F12" s="1" t="s">
        <v>1064</v>
      </c>
      <c r="G12" s="5">
        <v>161549.4</v>
      </c>
      <c r="H12" s="3" t="s">
        <v>12</v>
      </c>
    </row>
    <row r="13" spans="1:8" x14ac:dyDescent="0.3">
      <c r="A13" s="108">
        <v>46234</v>
      </c>
      <c r="B13" s="1" t="s">
        <v>34</v>
      </c>
      <c r="C13" s="1" t="s">
        <v>8</v>
      </c>
      <c r="D13" s="1" t="s">
        <v>9</v>
      </c>
      <c r="E13" s="1" t="s">
        <v>10</v>
      </c>
      <c r="F13" s="1" t="s">
        <v>1065</v>
      </c>
      <c r="G13" s="5">
        <v>800</v>
      </c>
      <c r="H13" s="3" t="s">
        <v>12</v>
      </c>
    </row>
    <row r="14" spans="1:8" x14ac:dyDescent="0.3">
      <c r="A14" s="108">
        <v>46234</v>
      </c>
      <c r="B14" s="1" t="s">
        <v>79</v>
      </c>
      <c r="C14" s="1" t="s">
        <v>8</v>
      </c>
      <c r="D14" s="1" t="s">
        <v>9</v>
      </c>
      <c r="E14" s="1" t="s">
        <v>10</v>
      </c>
      <c r="F14" s="1" t="s">
        <v>1066</v>
      </c>
      <c r="G14" s="5">
        <v>226</v>
      </c>
      <c r="H14" s="3" t="s">
        <v>12</v>
      </c>
    </row>
    <row r="15" spans="1:8" x14ac:dyDescent="0.3">
      <c r="A15" s="108">
        <v>46234</v>
      </c>
      <c r="B15" s="1" t="s">
        <v>53</v>
      </c>
      <c r="C15" s="1" t="s">
        <v>8</v>
      </c>
      <c r="D15" s="1" t="s">
        <v>9</v>
      </c>
      <c r="E15" s="1" t="s">
        <v>28</v>
      </c>
      <c r="F15" s="1" t="s">
        <v>456</v>
      </c>
      <c r="G15" s="5">
        <v>2963.05</v>
      </c>
      <c r="H15" s="3" t="s">
        <v>12</v>
      </c>
    </row>
    <row r="16" spans="1:8" x14ac:dyDescent="0.3">
      <c r="A16" s="108">
        <v>46234</v>
      </c>
      <c r="B16" s="1" t="s">
        <v>53</v>
      </c>
      <c r="C16" s="1" t="s">
        <v>20</v>
      </c>
      <c r="D16" s="1" t="s">
        <v>9</v>
      </c>
      <c r="E16" s="1" t="s">
        <v>10</v>
      </c>
      <c r="F16" s="1" t="s">
        <v>1067</v>
      </c>
      <c r="G16" s="5">
        <v>1268.3900000000001</v>
      </c>
      <c r="H16" s="3" t="s">
        <v>12</v>
      </c>
    </row>
    <row r="17" spans="1:8" x14ac:dyDescent="0.3">
      <c r="A17" s="108">
        <v>46234</v>
      </c>
      <c r="B17" s="1" t="s">
        <v>34</v>
      </c>
      <c r="C17" s="1" t="s">
        <v>8</v>
      </c>
      <c r="D17" s="1" t="s">
        <v>9</v>
      </c>
      <c r="E17" s="1" t="s">
        <v>10</v>
      </c>
      <c r="F17" s="1" t="s">
        <v>455</v>
      </c>
      <c r="G17" s="5">
        <v>237.8</v>
      </c>
      <c r="H17" s="3" t="s">
        <v>12</v>
      </c>
    </row>
    <row r="18" spans="1:8" x14ac:dyDescent="0.3">
      <c r="A18" s="108">
        <v>46234</v>
      </c>
      <c r="B18" s="1" t="s">
        <v>79</v>
      </c>
      <c r="C18" s="1" t="s">
        <v>30</v>
      </c>
      <c r="D18" s="1" t="s">
        <v>9</v>
      </c>
      <c r="E18" s="1" t="s">
        <v>79</v>
      </c>
      <c r="F18" s="1" t="s">
        <v>1068</v>
      </c>
      <c r="G18" s="5">
        <v>2677.72</v>
      </c>
      <c r="H18" s="3" t="s">
        <v>12</v>
      </c>
    </row>
    <row r="19" spans="1:8" x14ac:dyDescent="0.3">
      <c r="A19" s="108">
        <v>46233</v>
      </c>
      <c r="B19" s="1" t="s">
        <v>34</v>
      </c>
      <c r="C19" s="1" t="s">
        <v>8</v>
      </c>
      <c r="D19" s="1" t="s">
        <v>9</v>
      </c>
      <c r="E19" s="1" t="s">
        <v>10</v>
      </c>
      <c r="F19" s="1" t="s">
        <v>1057</v>
      </c>
      <c r="G19" s="5">
        <v>500</v>
      </c>
      <c r="H19" s="3" t="s">
        <v>12</v>
      </c>
    </row>
    <row r="20" spans="1:8" x14ac:dyDescent="0.3">
      <c r="A20" s="108">
        <v>46233</v>
      </c>
      <c r="B20" s="1" t="s">
        <v>34</v>
      </c>
      <c r="C20" s="1" t="s">
        <v>8</v>
      </c>
      <c r="D20" s="1" t="s">
        <v>9</v>
      </c>
      <c r="E20" s="1" t="s">
        <v>10</v>
      </c>
      <c r="F20" s="1" t="s">
        <v>1069</v>
      </c>
      <c r="G20" s="5">
        <v>839.6</v>
      </c>
      <c r="H20" s="3" t="s">
        <v>12</v>
      </c>
    </row>
    <row r="21" spans="1:8" x14ac:dyDescent="0.3">
      <c r="A21" s="108">
        <v>46232</v>
      </c>
      <c r="B21" s="1" t="s">
        <v>169</v>
      </c>
      <c r="C21" s="1" t="s">
        <v>8</v>
      </c>
      <c r="D21" s="1" t="s">
        <v>9</v>
      </c>
      <c r="E21" s="1" t="s">
        <v>10</v>
      </c>
      <c r="F21" s="1" t="s">
        <v>1070</v>
      </c>
      <c r="G21" s="5">
        <v>3524.08</v>
      </c>
      <c r="H21" s="3" t="s">
        <v>12</v>
      </c>
    </row>
    <row r="22" spans="1:8" x14ac:dyDescent="0.3">
      <c r="A22" s="108">
        <v>46232</v>
      </c>
      <c r="B22" s="1" t="s">
        <v>79</v>
      </c>
      <c r="C22" s="1" t="s">
        <v>8</v>
      </c>
      <c r="D22" s="1" t="s">
        <v>9</v>
      </c>
      <c r="E22" s="1" t="s">
        <v>10</v>
      </c>
      <c r="F22" s="1" t="s">
        <v>1071</v>
      </c>
      <c r="G22" s="5">
        <v>125</v>
      </c>
      <c r="H22" s="3" t="s">
        <v>12</v>
      </c>
    </row>
    <row r="23" spans="1:8" x14ac:dyDescent="0.3">
      <c r="A23" s="108">
        <v>46232</v>
      </c>
      <c r="B23" s="1" t="s">
        <v>34</v>
      </c>
      <c r="C23" s="1" t="s">
        <v>8</v>
      </c>
      <c r="D23" s="1" t="s">
        <v>9</v>
      </c>
      <c r="E23" s="1" t="s">
        <v>10</v>
      </c>
      <c r="F23" s="1" t="s">
        <v>1072</v>
      </c>
      <c r="G23" s="5">
        <v>261.3</v>
      </c>
      <c r="H23" s="3" t="s">
        <v>12</v>
      </c>
    </row>
    <row r="24" spans="1:8" x14ac:dyDescent="0.3">
      <c r="A24" s="108">
        <v>46232</v>
      </c>
      <c r="B24" s="1" t="s">
        <v>79</v>
      </c>
      <c r="C24" s="1" t="s">
        <v>8</v>
      </c>
      <c r="D24" s="1" t="s">
        <v>9</v>
      </c>
      <c r="E24" s="1" t="s">
        <v>10</v>
      </c>
      <c r="F24" s="1" t="s">
        <v>1073</v>
      </c>
      <c r="G24" s="5">
        <v>139.5</v>
      </c>
      <c r="H24" s="3" t="s">
        <v>12</v>
      </c>
    </row>
    <row r="25" spans="1:8" x14ac:dyDescent="0.3">
      <c r="A25" s="108">
        <v>46232</v>
      </c>
      <c r="B25" s="1" t="s">
        <v>34</v>
      </c>
      <c r="C25" s="1" t="s">
        <v>8</v>
      </c>
      <c r="D25" s="1" t="s">
        <v>9</v>
      </c>
      <c r="E25" s="1" t="s">
        <v>10</v>
      </c>
      <c r="F25" s="1" t="s">
        <v>1074</v>
      </c>
      <c r="G25" s="5">
        <v>1588.79</v>
      </c>
      <c r="H25" s="3" t="s">
        <v>12</v>
      </c>
    </row>
    <row r="26" spans="1:8" x14ac:dyDescent="0.3">
      <c r="A26" s="108">
        <v>46232</v>
      </c>
      <c r="B26" s="1" t="s">
        <v>29</v>
      </c>
      <c r="C26" s="1" t="s">
        <v>30</v>
      </c>
      <c r="D26" s="1" t="s">
        <v>9</v>
      </c>
      <c r="E26" s="1" t="s">
        <v>10</v>
      </c>
      <c r="F26" s="1" t="s">
        <v>1075</v>
      </c>
      <c r="G26" s="5">
        <v>362</v>
      </c>
      <c r="H26" s="3" t="s">
        <v>12</v>
      </c>
    </row>
    <row r="27" spans="1:8" x14ac:dyDescent="0.3">
      <c r="A27" s="108">
        <v>46231</v>
      </c>
      <c r="B27" s="1" t="s">
        <v>81</v>
      </c>
      <c r="C27" s="1" t="s">
        <v>30</v>
      </c>
      <c r="D27" s="1" t="s">
        <v>9</v>
      </c>
      <c r="E27" s="1" t="s">
        <v>10</v>
      </c>
      <c r="F27" s="1" t="s">
        <v>1076</v>
      </c>
      <c r="G27" s="5">
        <v>743</v>
      </c>
      <c r="H27" s="3" t="s">
        <v>12</v>
      </c>
    </row>
    <row r="28" spans="1:8" x14ac:dyDescent="0.3">
      <c r="A28" s="108">
        <v>46231</v>
      </c>
      <c r="B28" s="1" t="s">
        <v>79</v>
      </c>
      <c r="C28" s="1" t="s">
        <v>8</v>
      </c>
      <c r="D28" s="1" t="s">
        <v>9</v>
      </c>
      <c r="E28" s="1" t="s">
        <v>10</v>
      </c>
      <c r="F28" s="1" t="s">
        <v>1077</v>
      </c>
      <c r="G28" s="5">
        <v>313</v>
      </c>
      <c r="H28" s="3" t="s">
        <v>12</v>
      </c>
    </row>
    <row r="29" spans="1:8" x14ac:dyDescent="0.3">
      <c r="A29" s="108">
        <v>46231</v>
      </c>
      <c r="B29" s="1" t="s">
        <v>55</v>
      </c>
      <c r="C29" s="1" t="s">
        <v>20</v>
      </c>
      <c r="D29" s="1" t="s">
        <v>9</v>
      </c>
      <c r="E29" s="1" t="s">
        <v>28</v>
      </c>
      <c r="F29" s="1" t="s">
        <v>1078</v>
      </c>
      <c r="G29" s="5">
        <v>7663.5</v>
      </c>
      <c r="H29" s="3" t="s">
        <v>12</v>
      </c>
    </row>
    <row r="30" spans="1:8" x14ac:dyDescent="0.3">
      <c r="A30" s="108">
        <v>46230</v>
      </c>
      <c r="B30" s="1" t="s">
        <v>34</v>
      </c>
      <c r="C30" s="1" t="s">
        <v>8</v>
      </c>
      <c r="D30" s="1" t="s">
        <v>9</v>
      </c>
      <c r="E30" s="1" t="s">
        <v>10</v>
      </c>
      <c r="F30" s="1" t="s">
        <v>1079</v>
      </c>
      <c r="G30" s="5">
        <v>800</v>
      </c>
      <c r="H30" s="3" t="s">
        <v>12</v>
      </c>
    </row>
    <row r="31" spans="1:8" x14ac:dyDescent="0.3">
      <c r="A31" s="108">
        <v>46230</v>
      </c>
      <c r="B31" s="1" t="s">
        <v>34</v>
      </c>
      <c r="C31" s="1" t="s">
        <v>8</v>
      </c>
      <c r="D31" s="1" t="s">
        <v>9</v>
      </c>
      <c r="E31" s="1" t="s">
        <v>10</v>
      </c>
      <c r="F31" s="1" t="s">
        <v>38</v>
      </c>
      <c r="G31" s="5">
        <v>1367.95</v>
      </c>
      <c r="H31" s="3" t="s">
        <v>12</v>
      </c>
    </row>
    <row r="32" spans="1:8" x14ac:dyDescent="0.3">
      <c r="A32" s="108">
        <v>46230</v>
      </c>
      <c r="B32" s="1" t="s">
        <v>34</v>
      </c>
      <c r="C32" s="1" t="s">
        <v>8</v>
      </c>
      <c r="D32" s="1" t="s">
        <v>9</v>
      </c>
      <c r="E32" s="1" t="s">
        <v>10</v>
      </c>
      <c r="F32" s="1" t="s">
        <v>1080</v>
      </c>
      <c r="G32" s="5">
        <v>618.6</v>
      </c>
      <c r="H32" s="3" t="s">
        <v>12</v>
      </c>
    </row>
    <row r="33" spans="1:8" x14ac:dyDescent="0.3">
      <c r="A33" s="108">
        <v>46230</v>
      </c>
      <c r="B33" s="1" t="s">
        <v>34</v>
      </c>
      <c r="C33" s="1" t="s">
        <v>8</v>
      </c>
      <c r="D33" s="1" t="s">
        <v>9</v>
      </c>
      <c r="E33" s="1" t="s">
        <v>10</v>
      </c>
      <c r="F33" s="1" t="s">
        <v>1081</v>
      </c>
      <c r="G33" s="5">
        <v>88.37</v>
      </c>
      <c r="H33" s="3" t="s">
        <v>12</v>
      </c>
    </row>
    <row r="34" spans="1:8" x14ac:dyDescent="0.3">
      <c r="A34" s="108">
        <v>46230</v>
      </c>
      <c r="B34" s="1" t="s">
        <v>34</v>
      </c>
      <c r="C34" s="1" t="s">
        <v>8</v>
      </c>
      <c r="D34" s="1" t="s">
        <v>9</v>
      </c>
      <c r="E34" s="1" t="s">
        <v>10</v>
      </c>
      <c r="F34" s="1" t="s">
        <v>1082</v>
      </c>
      <c r="G34" s="5">
        <v>2063.9299999999998</v>
      </c>
      <c r="H34" s="3" t="s">
        <v>12</v>
      </c>
    </row>
    <row r="35" spans="1:8" x14ac:dyDescent="0.3">
      <c r="A35" s="108">
        <v>46230</v>
      </c>
      <c r="B35" s="1" t="s">
        <v>34</v>
      </c>
      <c r="C35" s="1" t="s">
        <v>8</v>
      </c>
      <c r="D35" s="1" t="s">
        <v>9</v>
      </c>
      <c r="E35" s="1" t="s">
        <v>10</v>
      </c>
      <c r="F35" s="1" t="s">
        <v>1083</v>
      </c>
      <c r="G35" s="5">
        <v>570.07000000000005</v>
      </c>
      <c r="H35" s="3" t="s">
        <v>12</v>
      </c>
    </row>
    <row r="36" spans="1:8" x14ac:dyDescent="0.3">
      <c r="A36" s="108">
        <v>46230</v>
      </c>
      <c r="B36" s="1" t="s">
        <v>34</v>
      </c>
      <c r="C36" s="1" t="s">
        <v>8</v>
      </c>
      <c r="D36" s="1" t="s">
        <v>9</v>
      </c>
      <c r="E36" s="1" t="s">
        <v>10</v>
      </c>
      <c r="F36" s="1" t="s">
        <v>1084</v>
      </c>
      <c r="G36" s="5">
        <v>530.13</v>
      </c>
      <c r="H36" s="3" t="s">
        <v>12</v>
      </c>
    </row>
    <row r="37" spans="1:8" x14ac:dyDescent="0.3">
      <c r="A37" s="108">
        <v>46230</v>
      </c>
      <c r="B37" s="1" t="s">
        <v>81</v>
      </c>
      <c r="C37" s="1" t="s">
        <v>8</v>
      </c>
      <c r="D37" s="1" t="s">
        <v>9</v>
      </c>
      <c r="E37" s="1" t="s">
        <v>10</v>
      </c>
      <c r="F37" s="1" t="s">
        <v>1085</v>
      </c>
      <c r="G37" s="5">
        <v>361</v>
      </c>
      <c r="H37" s="3" t="s">
        <v>12</v>
      </c>
    </row>
    <row r="38" spans="1:8" x14ac:dyDescent="0.3">
      <c r="A38" s="108">
        <v>46230</v>
      </c>
      <c r="B38" s="1" t="s">
        <v>19</v>
      </c>
      <c r="C38" s="1" t="s">
        <v>8</v>
      </c>
      <c r="D38" s="1" t="s">
        <v>9</v>
      </c>
      <c r="E38" s="1" t="s">
        <v>10</v>
      </c>
      <c r="F38" s="1" t="s">
        <v>1086</v>
      </c>
      <c r="G38" s="5">
        <v>87580</v>
      </c>
      <c r="H38" s="3" t="s">
        <v>12</v>
      </c>
    </row>
    <row r="39" spans="1:8" x14ac:dyDescent="0.3">
      <c r="A39" s="108">
        <v>46227</v>
      </c>
      <c r="B39" s="1" t="s">
        <v>25</v>
      </c>
      <c r="C39" s="1" t="s">
        <v>20</v>
      </c>
      <c r="D39" s="1" t="s">
        <v>9</v>
      </c>
      <c r="E39" s="1" t="s">
        <v>10</v>
      </c>
      <c r="F39" s="1" t="s">
        <v>1087</v>
      </c>
      <c r="G39" s="5">
        <v>160373.38</v>
      </c>
      <c r="H39" s="3" t="s">
        <v>12</v>
      </c>
    </row>
    <row r="40" spans="1:8" x14ac:dyDescent="0.3">
      <c r="A40" s="108">
        <v>46227</v>
      </c>
      <c r="B40" s="1" t="s">
        <v>25</v>
      </c>
      <c r="C40" s="1" t="s">
        <v>20</v>
      </c>
      <c r="D40" s="1" t="s">
        <v>9</v>
      </c>
      <c r="E40" s="1" t="s">
        <v>28</v>
      </c>
      <c r="F40" s="1" t="s">
        <v>1087</v>
      </c>
      <c r="G40" s="5">
        <v>10078.700000000001</v>
      </c>
      <c r="H40" s="3" t="s">
        <v>12</v>
      </c>
    </row>
    <row r="41" spans="1:8" x14ac:dyDescent="0.3">
      <c r="A41" s="108">
        <v>46227</v>
      </c>
      <c r="B41" s="1" t="s">
        <v>17</v>
      </c>
      <c r="C41" s="1" t="s">
        <v>8</v>
      </c>
      <c r="D41" s="1" t="s">
        <v>9</v>
      </c>
      <c r="E41" s="1" t="s">
        <v>10</v>
      </c>
      <c r="F41" s="1" t="s">
        <v>1059</v>
      </c>
      <c r="G41" s="5">
        <v>342</v>
      </c>
      <c r="H41" s="3" t="s">
        <v>12</v>
      </c>
    </row>
    <row r="42" spans="1:8" x14ac:dyDescent="0.3">
      <c r="A42" s="108">
        <v>46227</v>
      </c>
      <c r="B42" s="1" t="s">
        <v>55</v>
      </c>
      <c r="C42" s="1" t="s">
        <v>20</v>
      </c>
      <c r="D42" s="1" t="s">
        <v>9</v>
      </c>
      <c r="E42" s="1" t="s">
        <v>28</v>
      </c>
      <c r="F42" s="1" t="s">
        <v>1088</v>
      </c>
      <c r="G42" s="5">
        <v>1160</v>
      </c>
      <c r="H42" s="3" t="s">
        <v>12</v>
      </c>
    </row>
    <row r="43" spans="1:8" x14ac:dyDescent="0.3">
      <c r="A43" s="108">
        <v>46227</v>
      </c>
      <c r="B43" s="1" t="s">
        <v>34</v>
      </c>
      <c r="C43" s="1" t="s">
        <v>8</v>
      </c>
      <c r="D43" s="1" t="s">
        <v>9</v>
      </c>
      <c r="E43" s="1" t="s">
        <v>10</v>
      </c>
      <c r="F43" s="1" t="s">
        <v>1089</v>
      </c>
      <c r="G43" s="5">
        <v>800</v>
      </c>
      <c r="H43" s="3" t="s">
        <v>12</v>
      </c>
    </row>
    <row r="44" spans="1:8" x14ac:dyDescent="0.3">
      <c r="A44" s="108">
        <v>46227</v>
      </c>
      <c r="B44" s="1" t="s">
        <v>154</v>
      </c>
      <c r="C44" s="1" t="s">
        <v>8</v>
      </c>
      <c r="D44" s="1" t="s">
        <v>9</v>
      </c>
      <c r="E44" s="1" t="s">
        <v>10</v>
      </c>
      <c r="F44" s="1" t="s">
        <v>975</v>
      </c>
      <c r="G44" s="5">
        <v>11755.37</v>
      </c>
      <c r="H44" s="3" t="s">
        <v>12</v>
      </c>
    </row>
    <row r="45" spans="1:8" x14ac:dyDescent="0.3">
      <c r="A45" s="108">
        <v>46227</v>
      </c>
      <c r="B45" s="1" t="s">
        <v>45</v>
      </c>
      <c r="C45" s="1" t="s">
        <v>20</v>
      </c>
      <c r="D45" s="1" t="s">
        <v>9</v>
      </c>
      <c r="E45" s="1" t="s">
        <v>10</v>
      </c>
      <c r="F45" s="1" t="s">
        <v>648</v>
      </c>
      <c r="G45" s="5">
        <v>5566.41</v>
      </c>
      <c r="H45" s="3" t="s">
        <v>12</v>
      </c>
    </row>
    <row r="46" spans="1:8" x14ac:dyDescent="0.3">
      <c r="A46" s="108">
        <v>46226</v>
      </c>
      <c r="B46" s="1" t="s">
        <v>79</v>
      </c>
      <c r="C46" s="1" t="s">
        <v>8</v>
      </c>
      <c r="D46" s="1" t="s">
        <v>9</v>
      </c>
      <c r="E46" s="1" t="s">
        <v>10</v>
      </c>
      <c r="F46" s="1" t="s">
        <v>1090</v>
      </c>
      <c r="G46" s="5">
        <v>180</v>
      </c>
      <c r="H46" s="3" t="s">
        <v>12</v>
      </c>
    </row>
    <row r="47" spans="1:8" x14ac:dyDescent="0.3">
      <c r="A47" s="108">
        <v>46226</v>
      </c>
      <c r="B47" s="1" t="s">
        <v>50</v>
      </c>
      <c r="C47" s="1" t="s">
        <v>30</v>
      </c>
      <c r="D47" s="1" t="s">
        <v>9</v>
      </c>
      <c r="E47" s="1" t="s">
        <v>28</v>
      </c>
      <c r="F47" s="1" t="s">
        <v>1091</v>
      </c>
      <c r="G47" s="5">
        <v>84</v>
      </c>
      <c r="H47" s="3" t="s">
        <v>12</v>
      </c>
    </row>
    <row r="48" spans="1:8" x14ac:dyDescent="0.3">
      <c r="A48" s="108">
        <v>46226</v>
      </c>
      <c r="B48" s="1" t="s">
        <v>34</v>
      </c>
      <c r="C48" s="1" t="s">
        <v>8</v>
      </c>
      <c r="D48" s="1" t="s">
        <v>9</v>
      </c>
      <c r="E48" s="1" t="s">
        <v>10</v>
      </c>
      <c r="F48" s="1" t="s">
        <v>1092</v>
      </c>
      <c r="G48" s="5">
        <v>700.31</v>
      </c>
      <c r="H48" s="3" t="s">
        <v>12</v>
      </c>
    </row>
    <row r="49" spans="1:8" x14ac:dyDescent="0.3">
      <c r="A49" s="108">
        <v>46226</v>
      </c>
      <c r="B49" s="1" t="s">
        <v>29</v>
      </c>
      <c r="C49" s="1" t="s">
        <v>8</v>
      </c>
      <c r="D49" s="1" t="s">
        <v>9</v>
      </c>
      <c r="E49" s="1" t="s">
        <v>10</v>
      </c>
      <c r="F49" s="1" t="s">
        <v>1093</v>
      </c>
      <c r="G49" s="5">
        <v>58</v>
      </c>
      <c r="H49" s="3" t="s">
        <v>12</v>
      </c>
    </row>
    <row r="50" spans="1:8" x14ac:dyDescent="0.3">
      <c r="A50" s="108">
        <v>46226</v>
      </c>
      <c r="B50" s="1" t="s">
        <v>79</v>
      </c>
      <c r="C50" s="1" t="s">
        <v>30</v>
      </c>
      <c r="D50" s="1" t="s">
        <v>9</v>
      </c>
      <c r="E50" s="1" t="s">
        <v>10</v>
      </c>
      <c r="F50" s="1" t="s">
        <v>1094</v>
      </c>
      <c r="G50" s="5">
        <v>45</v>
      </c>
      <c r="H50" s="3" t="s">
        <v>12</v>
      </c>
    </row>
    <row r="51" spans="1:8" x14ac:dyDescent="0.3">
      <c r="A51" s="108">
        <v>46225</v>
      </c>
      <c r="B51" s="1" t="s">
        <v>79</v>
      </c>
      <c r="C51" s="1" t="s">
        <v>8</v>
      </c>
      <c r="D51" s="1" t="s">
        <v>9</v>
      </c>
      <c r="E51" s="1" t="s">
        <v>10</v>
      </c>
      <c r="F51" s="1" t="s">
        <v>1095</v>
      </c>
      <c r="G51" s="5">
        <v>130</v>
      </c>
      <c r="H51" s="3" t="s">
        <v>12</v>
      </c>
    </row>
    <row r="52" spans="1:8" x14ac:dyDescent="0.3">
      <c r="A52" s="108">
        <v>46225</v>
      </c>
      <c r="B52" s="1" t="s">
        <v>34</v>
      </c>
      <c r="C52" s="1" t="s">
        <v>8</v>
      </c>
      <c r="D52" s="1" t="s">
        <v>9</v>
      </c>
      <c r="E52" s="1" t="s">
        <v>10</v>
      </c>
      <c r="F52" s="1" t="s">
        <v>1096</v>
      </c>
      <c r="G52" s="5">
        <v>1000</v>
      </c>
      <c r="H52" s="3" t="s">
        <v>12</v>
      </c>
    </row>
    <row r="53" spans="1:8" x14ac:dyDescent="0.3">
      <c r="A53" s="108">
        <v>46225</v>
      </c>
      <c r="B53" s="1" t="s">
        <v>60</v>
      </c>
      <c r="C53" s="1" t="s">
        <v>8</v>
      </c>
      <c r="D53" s="1" t="s">
        <v>9</v>
      </c>
      <c r="E53" s="1" t="s">
        <v>28</v>
      </c>
      <c r="F53" s="1" t="s">
        <v>1097</v>
      </c>
      <c r="G53" s="5">
        <v>7760</v>
      </c>
      <c r="H53" s="3" t="s">
        <v>12</v>
      </c>
    </row>
    <row r="54" spans="1:8" x14ac:dyDescent="0.3">
      <c r="A54" s="108">
        <v>46225</v>
      </c>
      <c r="B54" s="1" t="s">
        <v>79</v>
      </c>
      <c r="C54" s="1" t="s">
        <v>30</v>
      </c>
      <c r="D54" s="1" t="s">
        <v>9</v>
      </c>
      <c r="E54" s="1" t="s">
        <v>28</v>
      </c>
      <c r="F54" s="1" t="s">
        <v>1098</v>
      </c>
      <c r="G54" s="5">
        <v>108</v>
      </c>
      <c r="H54" s="3" t="s">
        <v>12</v>
      </c>
    </row>
    <row r="55" spans="1:8" x14ac:dyDescent="0.3">
      <c r="A55" s="108">
        <v>46225</v>
      </c>
      <c r="B55" s="1" t="s">
        <v>50</v>
      </c>
      <c r="C55" s="1" t="s">
        <v>8</v>
      </c>
      <c r="D55" s="1" t="s">
        <v>9</v>
      </c>
      <c r="E55" s="1" t="s">
        <v>28</v>
      </c>
      <c r="F55" s="1" t="s">
        <v>1099</v>
      </c>
      <c r="G55" s="5">
        <v>469.2</v>
      </c>
      <c r="H55" s="3" t="s">
        <v>12</v>
      </c>
    </row>
    <row r="56" spans="1:8" x14ac:dyDescent="0.3">
      <c r="A56" s="108">
        <v>46225</v>
      </c>
      <c r="B56" s="1" t="s">
        <v>50</v>
      </c>
      <c r="C56" s="1" t="s">
        <v>30</v>
      </c>
      <c r="D56" s="1" t="s">
        <v>23</v>
      </c>
      <c r="E56" s="1" t="s">
        <v>28</v>
      </c>
      <c r="F56" s="1" t="s">
        <v>1100</v>
      </c>
      <c r="G56" s="5">
        <v>93</v>
      </c>
      <c r="H56" s="3" t="s">
        <v>12</v>
      </c>
    </row>
    <row r="57" spans="1:8" x14ac:dyDescent="0.3">
      <c r="A57" s="108">
        <v>46225</v>
      </c>
      <c r="B57" s="1" t="s">
        <v>29</v>
      </c>
      <c r="C57" s="1" t="s">
        <v>20</v>
      </c>
      <c r="D57" s="1" t="s">
        <v>9</v>
      </c>
      <c r="E57" s="1" t="s">
        <v>10</v>
      </c>
      <c r="F57" s="1" t="s">
        <v>1101</v>
      </c>
      <c r="G57" s="5">
        <v>5482</v>
      </c>
      <c r="H57" s="3" t="s">
        <v>12</v>
      </c>
    </row>
    <row r="58" spans="1:8" x14ac:dyDescent="0.3">
      <c r="A58" s="108">
        <v>46224</v>
      </c>
      <c r="B58" s="1" t="s">
        <v>89</v>
      </c>
      <c r="C58" s="1" t="s">
        <v>8</v>
      </c>
      <c r="D58" s="1" t="s">
        <v>9</v>
      </c>
      <c r="E58" s="1" t="s">
        <v>10</v>
      </c>
      <c r="F58" s="1" t="s">
        <v>1102</v>
      </c>
      <c r="G58" s="5">
        <v>14</v>
      </c>
      <c r="H58" s="3" t="s">
        <v>12</v>
      </c>
    </row>
    <row r="59" spans="1:8" x14ac:dyDescent="0.3">
      <c r="A59" s="108">
        <v>46224</v>
      </c>
      <c r="B59" s="1" t="s">
        <v>19</v>
      </c>
      <c r="C59" s="1" t="s">
        <v>20</v>
      </c>
      <c r="D59" s="1" t="s">
        <v>9</v>
      </c>
      <c r="E59" s="1" t="s">
        <v>10</v>
      </c>
      <c r="F59" s="1" t="s">
        <v>1103</v>
      </c>
      <c r="G59" s="5">
        <v>8120</v>
      </c>
      <c r="H59" s="3" t="s">
        <v>12</v>
      </c>
    </row>
    <row r="60" spans="1:8" x14ac:dyDescent="0.3">
      <c r="A60" s="108">
        <v>46224</v>
      </c>
      <c r="B60" s="1" t="s">
        <v>89</v>
      </c>
      <c r="C60" s="1" t="s">
        <v>8</v>
      </c>
      <c r="D60" s="1" t="s">
        <v>9</v>
      </c>
      <c r="E60" s="1" t="s">
        <v>10</v>
      </c>
      <c r="F60" s="1" t="s">
        <v>1104</v>
      </c>
      <c r="G60" s="5">
        <v>52</v>
      </c>
      <c r="H60" s="3" t="s">
        <v>12</v>
      </c>
    </row>
    <row r="61" spans="1:8" x14ac:dyDescent="0.3">
      <c r="A61" s="108">
        <v>46223</v>
      </c>
      <c r="B61" s="1" t="s">
        <v>60</v>
      </c>
      <c r="C61" s="1" t="s">
        <v>20</v>
      </c>
      <c r="D61" s="1" t="s">
        <v>9</v>
      </c>
      <c r="E61" s="1" t="s">
        <v>28</v>
      </c>
      <c r="F61" s="1" t="s">
        <v>1105</v>
      </c>
      <c r="G61" s="5">
        <v>5000</v>
      </c>
      <c r="H61" s="3" t="s">
        <v>12</v>
      </c>
    </row>
    <row r="62" spans="1:8" x14ac:dyDescent="0.3">
      <c r="A62" s="108">
        <v>46223</v>
      </c>
      <c r="B62" s="1" t="s">
        <v>34</v>
      </c>
      <c r="C62" s="1" t="s">
        <v>8</v>
      </c>
      <c r="D62" s="1" t="s">
        <v>9</v>
      </c>
      <c r="E62" s="1" t="s">
        <v>10</v>
      </c>
      <c r="F62" s="1" t="s">
        <v>1106</v>
      </c>
      <c r="G62" s="5">
        <v>800</v>
      </c>
      <c r="H62" s="3" t="s">
        <v>12</v>
      </c>
    </row>
    <row r="63" spans="1:8" x14ac:dyDescent="0.3">
      <c r="A63" s="108">
        <v>46223</v>
      </c>
      <c r="B63" s="1" t="s">
        <v>34</v>
      </c>
      <c r="C63" s="1" t="s">
        <v>8</v>
      </c>
      <c r="D63" s="1" t="s">
        <v>9</v>
      </c>
      <c r="E63" s="1" t="s">
        <v>10</v>
      </c>
      <c r="F63" s="1" t="s">
        <v>1107</v>
      </c>
      <c r="G63" s="5">
        <v>500</v>
      </c>
      <c r="H63" s="3" t="s">
        <v>12</v>
      </c>
    </row>
    <row r="64" spans="1:8" x14ac:dyDescent="0.3">
      <c r="A64" s="108">
        <v>46223</v>
      </c>
      <c r="B64" s="1" t="s">
        <v>50</v>
      </c>
      <c r="C64" s="1" t="s">
        <v>8</v>
      </c>
      <c r="D64" s="1" t="s">
        <v>9</v>
      </c>
      <c r="E64" s="1" t="s">
        <v>10</v>
      </c>
      <c r="F64" s="1" t="s">
        <v>1108</v>
      </c>
      <c r="G64" s="5">
        <v>800</v>
      </c>
      <c r="H64" s="3" t="s">
        <v>12</v>
      </c>
    </row>
    <row r="65" spans="1:8" x14ac:dyDescent="0.3">
      <c r="A65" s="108">
        <v>46223</v>
      </c>
      <c r="B65" s="1" t="s">
        <v>34</v>
      </c>
      <c r="C65" s="1" t="s">
        <v>8</v>
      </c>
      <c r="D65" s="1" t="s">
        <v>9</v>
      </c>
      <c r="E65" s="1" t="s">
        <v>10</v>
      </c>
      <c r="F65" s="1" t="s">
        <v>1109</v>
      </c>
      <c r="G65" s="5">
        <v>800</v>
      </c>
      <c r="H65" s="3" t="s">
        <v>12</v>
      </c>
    </row>
    <row r="66" spans="1:8" x14ac:dyDescent="0.3">
      <c r="A66" s="108">
        <v>46223</v>
      </c>
      <c r="B66" s="1" t="s">
        <v>34</v>
      </c>
      <c r="C66" s="1" t="s">
        <v>8</v>
      </c>
      <c r="D66" s="1" t="s">
        <v>9</v>
      </c>
      <c r="E66" s="1" t="s">
        <v>10</v>
      </c>
      <c r="F66" s="1" t="s">
        <v>1110</v>
      </c>
      <c r="G66" s="5">
        <v>800</v>
      </c>
      <c r="H66" s="3" t="s">
        <v>12</v>
      </c>
    </row>
    <row r="67" spans="1:8" x14ac:dyDescent="0.3">
      <c r="A67" s="108">
        <v>46223</v>
      </c>
      <c r="B67" s="1" t="s">
        <v>135</v>
      </c>
      <c r="C67" s="1" t="s">
        <v>8</v>
      </c>
      <c r="D67" s="1" t="s">
        <v>9</v>
      </c>
      <c r="E67" s="1" t="s">
        <v>10</v>
      </c>
      <c r="F67" s="1" t="s">
        <v>1111</v>
      </c>
      <c r="G67" s="5">
        <v>167889.13</v>
      </c>
      <c r="H67" s="3" t="s">
        <v>12</v>
      </c>
    </row>
    <row r="68" spans="1:8" x14ac:dyDescent="0.3">
      <c r="A68" s="108">
        <v>46223</v>
      </c>
      <c r="B68" s="1" t="s">
        <v>29</v>
      </c>
      <c r="C68" s="1" t="s">
        <v>8</v>
      </c>
      <c r="D68" s="1" t="s">
        <v>9</v>
      </c>
      <c r="E68" s="1" t="s">
        <v>10</v>
      </c>
      <c r="F68" s="1" t="s">
        <v>484</v>
      </c>
      <c r="G68" s="5">
        <v>229</v>
      </c>
      <c r="H68" s="3" t="s">
        <v>12</v>
      </c>
    </row>
    <row r="69" spans="1:8" x14ac:dyDescent="0.3">
      <c r="A69" s="108">
        <v>46223</v>
      </c>
      <c r="B69" s="1" t="s">
        <v>60</v>
      </c>
      <c r="C69" s="1" t="s">
        <v>30</v>
      </c>
      <c r="D69" s="1" t="s">
        <v>23</v>
      </c>
      <c r="E69" s="1" t="s">
        <v>10</v>
      </c>
      <c r="F69" s="1" t="s">
        <v>1112</v>
      </c>
      <c r="G69" s="5">
        <v>3000</v>
      </c>
      <c r="H69" s="3" t="s">
        <v>12</v>
      </c>
    </row>
    <row r="70" spans="1:8" x14ac:dyDescent="0.3">
      <c r="A70" s="108">
        <v>46222</v>
      </c>
      <c r="B70" s="1" t="s">
        <v>34</v>
      </c>
      <c r="C70" s="1" t="s">
        <v>8</v>
      </c>
      <c r="D70" s="1" t="s">
        <v>9</v>
      </c>
      <c r="E70" s="1" t="s">
        <v>10</v>
      </c>
      <c r="F70" s="1" t="s">
        <v>1113</v>
      </c>
      <c r="G70" s="5">
        <v>1000</v>
      </c>
      <c r="H70" s="3" t="s">
        <v>12</v>
      </c>
    </row>
    <row r="71" spans="1:8" x14ac:dyDescent="0.3">
      <c r="A71" s="108">
        <v>46221</v>
      </c>
      <c r="B71" s="1" t="s">
        <v>34</v>
      </c>
      <c r="C71" s="1" t="s">
        <v>8</v>
      </c>
      <c r="D71" s="1" t="s">
        <v>9</v>
      </c>
      <c r="E71" s="1" t="s">
        <v>10</v>
      </c>
      <c r="F71" s="1" t="s">
        <v>1114</v>
      </c>
      <c r="G71" s="5">
        <v>800</v>
      </c>
      <c r="H71" s="3" t="s">
        <v>12</v>
      </c>
    </row>
    <row r="72" spans="1:8" x14ac:dyDescent="0.3">
      <c r="A72" s="108">
        <v>46220</v>
      </c>
      <c r="B72" s="1" t="s">
        <v>25</v>
      </c>
      <c r="C72" s="1" t="s">
        <v>20</v>
      </c>
      <c r="D72" s="1" t="s">
        <v>9</v>
      </c>
      <c r="E72" s="1" t="s">
        <v>10</v>
      </c>
      <c r="F72" s="1" t="s">
        <v>1115</v>
      </c>
      <c r="G72" s="5">
        <v>176138.64</v>
      </c>
      <c r="H72" s="3" t="s">
        <v>12</v>
      </c>
    </row>
    <row r="73" spans="1:8" x14ac:dyDescent="0.3">
      <c r="A73" s="108">
        <v>46220</v>
      </c>
      <c r="B73" s="1" t="s">
        <v>25</v>
      </c>
      <c r="C73" s="1" t="s">
        <v>20</v>
      </c>
      <c r="D73" s="1" t="s">
        <v>9</v>
      </c>
      <c r="E73" s="1" t="s">
        <v>28</v>
      </c>
      <c r="F73" s="1" t="s">
        <v>1115</v>
      </c>
      <c r="G73" s="5">
        <v>10078.700000000001</v>
      </c>
      <c r="H73" s="3" t="s">
        <v>12</v>
      </c>
    </row>
    <row r="74" spans="1:8" x14ac:dyDescent="0.3">
      <c r="A74" s="108">
        <v>46220</v>
      </c>
      <c r="B74" s="1" t="s">
        <v>34</v>
      </c>
      <c r="C74" s="1" t="s">
        <v>8</v>
      </c>
      <c r="D74" s="1" t="s">
        <v>9</v>
      </c>
      <c r="E74" s="1" t="s">
        <v>10</v>
      </c>
      <c r="F74" s="1" t="s">
        <v>1116</v>
      </c>
      <c r="G74" s="5">
        <v>800</v>
      </c>
      <c r="H74" s="3" t="s">
        <v>12</v>
      </c>
    </row>
    <row r="75" spans="1:8" x14ac:dyDescent="0.3">
      <c r="A75" s="108">
        <v>46220</v>
      </c>
      <c r="B75" s="1" t="s">
        <v>34</v>
      </c>
      <c r="C75" s="1" t="s">
        <v>8</v>
      </c>
      <c r="D75" s="1" t="s">
        <v>9</v>
      </c>
      <c r="E75" s="1" t="s">
        <v>10</v>
      </c>
      <c r="F75" s="1" t="s">
        <v>1117</v>
      </c>
      <c r="G75" s="5">
        <v>717.83</v>
      </c>
      <c r="H75" s="3" t="s">
        <v>12</v>
      </c>
    </row>
    <row r="76" spans="1:8" x14ac:dyDescent="0.3">
      <c r="A76" s="108">
        <v>46220</v>
      </c>
      <c r="B76" s="1" t="s">
        <v>17</v>
      </c>
      <c r="C76" s="1" t="s">
        <v>20</v>
      </c>
      <c r="D76" s="1" t="s">
        <v>9</v>
      </c>
      <c r="E76" s="1" t="s">
        <v>10</v>
      </c>
      <c r="F76" s="1" t="s">
        <v>1118</v>
      </c>
      <c r="G76" s="5">
        <v>342</v>
      </c>
      <c r="H76" s="3" t="s">
        <v>12</v>
      </c>
    </row>
    <row r="77" spans="1:8" x14ac:dyDescent="0.3">
      <c r="A77" s="108">
        <v>46220</v>
      </c>
      <c r="B77" s="1" t="s">
        <v>79</v>
      </c>
      <c r="C77" s="1" t="s">
        <v>8</v>
      </c>
      <c r="D77" s="1" t="s">
        <v>9</v>
      </c>
      <c r="E77" s="1" t="s">
        <v>10</v>
      </c>
      <c r="F77" s="1" t="s">
        <v>1119</v>
      </c>
      <c r="G77" s="5">
        <v>627.19000000000005</v>
      </c>
      <c r="H77" s="3" t="s">
        <v>12</v>
      </c>
    </row>
    <row r="78" spans="1:8" x14ac:dyDescent="0.3">
      <c r="A78" s="108">
        <v>46219</v>
      </c>
      <c r="B78" s="1" t="s">
        <v>7</v>
      </c>
      <c r="C78" s="1" t="s">
        <v>8</v>
      </c>
      <c r="D78" s="1" t="s">
        <v>9</v>
      </c>
      <c r="E78" s="1" t="s">
        <v>10</v>
      </c>
      <c r="F78" s="1" t="s">
        <v>1120</v>
      </c>
      <c r="G78" s="5">
        <v>2005.81</v>
      </c>
      <c r="H78" s="3" t="s">
        <v>12</v>
      </c>
    </row>
    <row r="79" spans="1:8" x14ac:dyDescent="0.3">
      <c r="A79" s="108">
        <v>46219</v>
      </c>
      <c r="B79" s="1" t="s">
        <v>34</v>
      </c>
      <c r="C79" s="1" t="s">
        <v>8</v>
      </c>
      <c r="D79" s="1" t="s">
        <v>9</v>
      </c>
      <c r="E79" s="1" t="s">
        <v>10</v>
      </c>
      <c r="F79" s="1" t="s">
        <v>1121</v>
      </c>
      <c r="G79" s="5">
        <v>887.63</v>
      </c>
      <c r="H79" s="3" t="s">
        <v>12</v>
      </c>
    </row>
    <row r="80" spans="1:8" x14ac:dyDescent="0.3">
      <c r="A80" s="108">
        <v>46219</v>
      </c>
      <c r="B80" s="1" t="s">
        <v>50</v>
      </c>
      <c r="C80" s="1" t="s">
        <v>8</v>
      </c>
      <c r="D80" s="1" t="s">
        <v>9</v>
      </c>
      <c r="E80" s="1" t="s">
        <v>28</v>
      </c>
      <c r="F80" s="1" t="s">
        <v>1122</v>
      </c>
      <c r="G80" s="5">
        <v>219.5</v>
      </c>
      <c r="H80" s="3" t="s">
        <v>12</v>
      </c>
    </row>
    <row r="81" spans="1:8" x14ac:dyDescent="0.3">
      <c r="A81" s="108">
        <v>46218</v>
      </c>
      <c r="B81" s="1" t="s">
        <v>50</v>
      </c>
      <c r="C81" s="1" t="s">
        <v>30</v>
      </c>
      <c r="D81" s="1" t="s">
        <v>9</v>
      </c>
      <c r="E81" s="1" t="s">
        <v>28</v>
      </c>
      <c r="F81" s="1" t="s">
        <v>1123</v>
      </c>
      <c r="G81" s="5">
        <v>465.4</v>
      </c>
      <c r="H81" s="3" t="s">
        <v>12</v>
      </c>
    </row>
    <row r="82" spans="1:8" x14ac:dyDescent="0.3">
      <c r="A82" s="108">
        <v>46218</v>
      </c>
      <c r="B82" s="1" t="s">
        <v>79</v>
      </c>
      <c r="C82" s="1" t="s">
        <v>8</v>
      </c>
      <c r="D82" s="1" t="s">
        <v>9</v>
      </c>
      <c r="E82" s="1" t="s">
        <v>10</v>
      </c>
      <c r="F82" s="1" t="s">
        <v>1124</v>
      </c>
      <c r="G82" s="5">
        <v>125</v>
      </c>
      <c r="H82" s="3" t="s">
        <v>12</v>
      </c>
    </row>
    <row r="83" spans="1:8" x14ac:dyDescent="0.3">
      <c r="A83" s="108">
        <v>46218</v>
      </c>
      <c r="B83" s="1" t="s">
        <v>45</v>
      </c>
      <c r="C83" s="1" t="s">
        <v>8</v>
      </c>
      <c r="D83" s="1" t="s">
        <v>9</v>
      </c>
      <c r="E83" s="1" t="s">
        <v>10</v>
      </c>
      <c r="F83" s="1" t="s">
        <v>1125</v>
      </c>
      <c r="G83" s="5">
        <v>3171.51</v>
      </c>
      <c r="H83" s="3" t="s">
        <v>12</v>
      </c>
    </row>
    <row r="84" spans="1:8" x14ac:dyDescent="0.3">
      <c r="A84" s="108">
        <v>46217</v>
      </c>
      <c r="B84" s="1" t="s">
        <v>370</v>
      </c>
      <c r="C84" s="1" t="s">
        <v>43</v>
      </c>
      <c r="D84" s="1" t="s">
        <v>9</v>
      </c>
      <c r="E84" s="1" t="s">
        <v>10</v>
      </c>
      <c r="F84" s="1" t="s">
        <v>1126</v>
      </c>
      <c r="G84" s="5">
        <v>19359</v>
      </c>
      <c r="H84" s="3" t="s">
        <v>12</v>
      </c>
    </row>
    <row r="85" spans="1:8" x14ac:dyDescent="0.3">
      <c r="A85" s="108">
        <v>46217</v>
      </c>
      <c r="B85" s="1" t="s">
        <v>34</v>
      </c>
      <c r="C85" s="1" t="s">
        <v>8</v>
      </c>
      <c r="D85" s="1" t="s">
        <v>9</v>
      </c>
      <c r="E85" s="1" t="s">
        <v>10</v>
      </c>
      <c r="F85" s="1" t="s">
        <v>1127</v>
      </c>
      <c r="G85" s="5">
        <v>1579.14</v>
      </c>
      <c r="H85" s="3" t="s">
        <v>12</v>
      </c>
    </row>
    <row r="86" spans="1:8" x14ac:dyDescent="0.3">
      <c r="A86" s="108">
        <v>46217</v>
      </c>
      <c r="B86" s="1" t="s">
        <v>79</v>
      </c>
      <c r="C86" s="1" t="s">
        <v>8</v>
      </c>
      <c r="D86" s="1" t="s">
        <v>9</v>
      </c>
      <c r="E86" s="1" t="s">
        <v>28</v>
      </c>
      <c r="F86" s="1" t="s">
        <v>1128</v>
      </c>
      <c r="G86" s="5">
        <v>30.06</v>
      </c>
      <c r="H86" s="3" t="s">
        <v>12</v>
      </c>
    </row>
    <row r="87" spans="1:8" x14ac:dyDescent="0.3">
      <c r="A87" s="108">
        <v>46217</v>
      </c>
      <c r="B87" s="1" t="s">
        <v>1203</v>
      </c>
      <c r="C87" s="1" t="s">
        <v>8</v>
      </c>
      <c r="D87" s="1" t="s">
        <v>9</v>
      </c>
      <c r="E87" s="1" t="s">
        <v>10</v>
      </c>
      <c r="F87" s="1" t="s">
        <v>1129</v>
      </c>
      <c r="G87" s="5">
        <v>1260</v>
      </c>
      <c r="H87" s="3" t="s">
        <v>12</v>
      </c>
    </row>
    <row r="88" spans="1:8" x14ac:dyDescent="0.3">
      <c r="A88" s="108">
        <v>46216</v>
      </c>
      <c r="B88" s="1" t="s">
        <v>29</v>
      </c>
      <c r="C88" s="1" t="s">
        <v>30</v>
      </c>
      <c r="D88" s="1" t="s">
        <v>9</v>
      </c>
      <c r="E88" s="1" t="s">
        <v>28</v>
      </c>
      <c r="F88" s="1" t="s">
        <v>1130</v>
      </c>
      <c r="G88" s="5">
        <v>9155</v>
      </c>
      <c r="H88" s="3" t="s">
        <v>12</v>
      </c>
    </row>
    <row r="89" spans="1:8" x14ac:dyDescent="0.3">
      <c r="A89" s="108">
        <v>46216</v>
      </c>
      <c r="B89" s="1" t="s">
        <v>81</v>
      </c>
      <c r="C89" s="1" t="s">
        <v>8</v>
      </c>
      <c r="D89" s="1" t="s">
        <v>9</v>
      </c>
      <c r="E89" s="1" t="s">
        <v>10</v>
      </c>
      <c r="F89" s="1" t="s">
        <v>1131</v>
      </c>
      <c r="G89" s="5">
        <v>784</v>
      </c>
      <c r="H89" s="3" t="s">
        <v>12</v>
      </c>
    </row>
    <row r="90" spans="1:8" x14ac:dyDescent="0.3">
      <c r="A90" s="108">
        <v>46216</v>
      </c>
      <c r="B90" s="1" t="s">
        <v>13</v>
      </c>
      <c r="C90" s="1" t="s">
        <v>30</v>
      </c>
      <c r="D90" s="1" t="s">
        <v>9</v>
      </c>
      <c r="E90" s="1" t="s">
        <v>10</v>
      </c>
      <c r="F90" s="1" t="s">
        <v>1132</v>
      </c>
      <c r="G90" s="5">
        <v>300</v>
      </c>
      <c r="H90" s="3" t="s">
        <v>12</v>
      </c>
    </row>
    <row r="91" spans="1:8" x14ac:dyDescent="0.3">
      <c r="A91" s="108">
        <v>46216</v>
      </c>
      <c r="B91" s="1" t="s">
        <v>34</v>
      </c>
      <c r="C91" s="1" t="s">
        <v>8</v>
      </c>
      <c r="D91" s="1" t="s">
        <v>9</v>
      </c>
      <c r="E91" s="1" t="s">
        <v>10</v>
      </c>
      <c r="F91" s="1" t="s">
        <v>1133</v>
      </c>
      <c r="G91" s="5">
        <v>1794.9</v>
      </c>
      <c r="H91" s="3" t="s">
        <v>12</v>
      </c>
    </row>
    <row r="92" spans="1:8" x14ac:dyDescent="0.3">
      <c r="A92" s="108">
        <v>46216</v>
      </c>
      <c r="B92" s="1" t="s">
        <v>34</v>
      </c>
      <c r="C92" s="1" t="s">
        <v>8</v>
      </c>
      <c r="D92" s="1" t="s">
        <v>9</v>
      </c>
      <c r="E92" s="1" t="s">
        <v>10</v>
      </c>
      <c r="F92" s="1" t="s">
        <v>1134</v>
      </c>
      <c r="G92" s="5">
        <v>2658.29</v>
      </c>
      <c r="H92" s="3" t="s">
        <v>12</v>
      </c>
    </row>
    <row r="93" spans="1:8" x14ac:dyDescent="0.3">
      <c r="A93" s="108">
        <v>46216</v>
      </c>
      <c r="B93" s="1" t="s">
        <v>34</v>
      </c>
      <c r="C93" s="1" t="s">
        <v>8</v>
      </c>
      <c r="D93" s="1" t="s">
        <v>9</v>
      </c>
      <c r="E93" s="1" t="s">
        <v>10</v>
      </c>
      <c r="F93" s="1" t="s">
        <v>1135</v>
      </c>
      <c r="G93" s="5">
        <v>1894.78</v>
      </c>
      <c r="H93" s="3" t="s">
        <v>12</v>
      </c>
    </row>
    <row r="94" spans="1:8" x14ac:dyDescent="0.3">
      <c r="A94" s="108">
        <v>46216</v>
      </c>
      <c r="B94" s="1" t="s">
        <v>19</v>
      </c>
      <c r="C94" s="1" t="s">
        <v>102</v>
      </c>
      <c r="D94" s="1" t="s">
        <v>9</v>
      </c>
      <c r="E94" s="1" t="s">
        <v>10</v>
      </c>
      <c r="F94" s="1" t="s">
        <v>1136</v>
      </c>
      <c r="G94" s="5">
        <v>1499</v>
      </c>
      <c r="H94" s="3" t="s">
        <v>12</v>
      </c>
    </row>
    <row r="95" spans="1:8" x14ac:dyDescent="0.3">
      <c r="A95" s="108">
        <v>46216</v>
      </c>
      <c r="B95" s="1" t="s">
        <v>13</v>
      </c>
      <c r="C95" s="1" t="s">
        <v>30</v>
      </c>
      <c r="D95" s="1" t="s">
        <v>9</v>
      </c>
      <c r="E95" s="1" t="s">
        <v>10</v>
      </c>
      <c r="F95" s="1" t="s">
        <v>1137</v>
      </c>
      <c r="G95" s="5">
        <v>320</v>
      </c>
      <c r="H95" s="3" t="s">
        <v>12</v>
      </c>
    </row>
    <row r="96" spans="1:8" x14ac:dyDescent="0.3">
      <c r="A96" s="108">
        <v>46216</v>
      </c>
      <c r="B96" s="1" t="s">
        <v>34</v>
      </c>
      <c r="C96" s="1" t="s">
        <v>8</v>
      </c>
      <c r="D96" s="1" t="s">
        <v>9</v>
      </c>
      <c r="E96" s="1" t="s">
        <v>10</v>
      </c>
      <c r="F96" s="1" t="s">
        <v>1138</v>
      </c>
      <c r="G96" s="5">
        <v>500</v>
      </c>
      <c r="H96" s="3" t="s">
        <v>12</v>
      </c>
    </row>
    <row r="97" spans="1:8" x14ac:dyDescent="0.3">
      <c r="A97" s="108">
        <v>46216</v>
      </c>
      <c r="B97" s="1" t="s">
        <v>34</v>
      </c>
      <c r="C97" s="1" t="s">
        <v>8</v>
      </c>
      <c r="D97" s="1" t="s">
        <v>9</v>
      </c>
      <c r="E97" s="1" t="s">
        <v>10</v>
      </c>
      <c r="F97" s="1" t="s">
        <v>1139</v>
      </c>
      <c r="G97" s="5">
        <v>800</v>
      </c>
      <c r="H97" s="3" t="s">
        <v>12</v>
      </c>
    </row>
    <row r="98" spans="1:8" x14ac:dyDescent="0.3">
      <c r="A98" s="108">
        <v>46216</v>
      </c>
      <c r="B98" s="1" t="s">
        <v>34</v>
      </c>
      <c r="C98" s="1" t="s">
        <v>8</v>
      </c>
      <c r="D98" s="1" t="s">
        <v>9</v>
      </c>
      <c r="E98" s="1" t="s">
        <v>10</v>
      </c>
      <c r="F98" s="1" t="s">
        <v>1140</v>
      </c>
      <c r="G98" s="5">
        <v>1052.83</v>
      </c>
      <c r="H98" s="3" t="s">
        <v>12</v>
      </c>
    </row>
    <row r="99" spans="1:8" x14ac:dyDescent="0.3">
      <c r="A99" s="108">
        <v>46216</v>
      </c>
      <c r="B99" s="1" t="s">
        <v>34</v>
      </c>
      <c r="C99" s="1" t="s">
        <v>8</v>
      </c>
      <c r="D99" s="1" t="s">
        <v>9</v>
      </c>
      <c r="E99" s="1" t="s">
        <v>10</v>
      </c>
      <c r="F99" s="1" t="s">
        <v>926</v>
      </c>
      <c r="G99" s="5">
        <v>812.57</v>
      </c>
      <c r="H99" s="3" t="s">
        <v>12</v>
      </c>
    </row>
    <row r="100" spans="1:8" x14ac:dyDescent="0.3">
      <c r="A100" s="108">
        <v>46216</v>
      </c>
      <c r="B100" s="1" t="s">
        <v>34</v>
      </c>
      <c r="C100" s="1" t="s">
        <v>8</v>
      </c>
      <c r="D100" s="1" t="s">
        <v>9</v>
      </c>
      <c r="E100" s="1" t="s">
        <v>10</v>
      </c>
      <c r="F100" s="1" t="s">
        <v>1141</v>
      </c>
      <c r="G100" s="5">
        <v>1726.33</v>
      </c>
      <c r="H100" s="3" t="s">
        <v>12</v>
      </c>
    </row>
    <row r="101" spans="1:8" x14ac:dyDescent="0.3">
      <c r="A101" s="108">
        <v>46216</v>
      </c>
      <c r="B101" s="1" t="s">
        <v>60</v>
      </c>
      <c r="C101" s="1" t="s">
        <v>8</v>
      </c>
      <c r="D101" s="1" t="s">
        <v>9</v>
      </c>
      <c r="E101" s="1" t="s">
        <v>10</v>
      </c>
      <c r="F101" s="1" t="s">
        <v>1142</v>
      </c>
      <c r="G101" s="5">
        <v>1392</v>
      </c>
      <c r="H101" s="3" t="s">
        <v>12</v>
      </c>
    </row>
    <row r="102" spans="1:8" x14ac:dyDescent="0.3">
      <c r="A102" s="108">
        <v>46216</v>
      </c>
      <c r="B102" s="1" t="s">
        <v>55</v>
      </c>
      <c r="C102" s="1" t="s">
        <v>20</v>
      </c>
      <c r="D102" s="1" t="s">
        <v>9</v>
      </c>
      <c r="E102" s="1" t="s">
        <v>10</v>
      </c>
      <c r="F102" s="1" t="s">
        <v>1143</v>
      </c>
      <c r="G102" s="5">
        <v>2835</v>
      </c>
      <c r="H102" s="3" t="s">
        <v>12</v>
      </c>
    </row>
    <row r="103" spans="1:8" x14ac:dyDescent="0.3">
      <c r="A103" s="108">
        <v>46214</v>
      </c>
      <c r="B103" s="1" t="s">
        <v>453</v>
      </c>
      <c r="C103" s="1" t="s">
        <v>8</v>
      </c>
      <c r="D103" s="1" t="s">
        <v>9</v>
      </c>
      <c r="E103" s="1" t="s">
        <v>10</v>
      </c>
      <c r="F103" s="1" t="s">
        <v>1144</v>
      </c>
      <c r="G103" s="5">
        <v>6419.19</v>
      </c>
      <c r="H103" s="3" t="s">
        <v>12</v>
      </c>
    </row>
    <row r="104" spans="1:8" x14ac:dyDescent="0.3">
      <c r="A104" s="108">
        <v>46213</v>
      </c>
      <c r="B104" s="1" t="s">
        <v>34</v>
      </c>
      <c r="C104" s="1" t="s">
        <v>8</v>
      </c>
      <c r="D104" s="1" t="s">
        <v>9</v>
      </c>
      <c r="E104" s="1" t="s">
        <v>10</v>
      </c>
      <c r="F104" s="1" t="s">
        <v>1145</v>
      </c>
      <c r="G104" s="5">
        <v>800</v>
      </c>
      <c r="H104" s="3" t="s">
        <v>12</v>
      </c>
    </row>
    <row r="105" spans="1:8" x14ac:dyDescent="0.3">
      <c r="A105" s="108">
        <v>46213</v>
      </c>
      <c r="B105" s="1" t="s">
        <v>34</v>
      </c>
      <c r="C105" s="1" t="s">
        <v>8</v>
      </c>
      <c r="D105" s="1" t="s">
        <v>9</v>
      </c>
      <c r="E105" s="1" t="s">
        <v>10</v>
      </c>
      <c r="F105" s="1" t="s">
        <v>1146</v>
      </c>
      <c r="G105" s="5">
        <v>800</v>
      </c>
      <c r="H105" s="3" t="s">
        <v>12</v>
      </c>
    </row>
    <row r="106" spans="1:8" x14ac:dyDescent="0.3">
      <c r="A106" s="108">
        <v>46213</v>
      </c>
      <c r="B106" s="1" t="s">
        <v>34</v>
      </c>
      <c r="C106" s="1" t="s">
        <v>8</v>
      </c>
      <c r="D106" s="1" t="s">
        <v>9</v>
      </c>
      <c r="E106" s="1" t="s">
        <v>10</v>
      </c>
      <c r="F106" s="1" t="s">
        <v>1147</v>
      </c>
      <c r="G106" s="5">
        <v>800</v>
      </c>
      <c r="H106" s="3" t="s">
        <v>12</v>
      </c>
    </row>
    <row r="107" spans="1:8" x14ac:dyDescent="0.3">
      <c r="A107" s="108">
        <v>46213</v>
      </c>
      <c r="B107" s="1" t="s">
        <v>34</v>
      </c>
      <c r="C107" s="1" t="s">
        <v>8</v>
      </c>
      <c r="D107" s="1" t="s">
        <v>9</v>
      </c>
      <c r="E107" s="1" t="s">
        <v>10</v>
      </c>
      <c r="F107" s="1" t="s">
        <v>1148</v>
      </c>
      <c r="G107" s="5">
        <v>800</v>
      </c>
      <c r="H107" s="3" t="s">
        <v>12</v>
      </c>
    </row>
    <row r="108" spans="1:8" x14ac:dyDescent="0.3">
      <c r="A108" s="108">
        <v>46213</v>
      </c>
      <c r="B108" s="1" t="s">
        <v>89</v>
      </c>
      <c r="C108" s="1" t="s">
        <v>8</v>
      </c>
      <c r="D108" s="1" t="s">
        <v>9</v>
      </c>
      <c r="E108" s="1" t="s">
        <v>10</v>
      </c>
      <c r="F108" s="1" t="s">
        <v>1149</v>
      </c>
      <c r="G108" s="5">
        <v>3648</v>
      </c>
      <c r="H108" s="3" t="s">
        <v>12</v>
      </c>
    </row>
    <row r="109" spans="1:8" x14ac:dyDescent="0.3">
      <c r="A109" s="108">
        <v>46213</v>
      </c>
      <c r="B109" s="1" t="s">
        <v>34</v>
      </c>
      <c r="C109" s="1" t="s">
        <v>8</v>
      </c>
      <c r="D109" s="1" t="s">
        <v>9</v>
      </c>
      <c r="E109" s="1" t="s">
        <v>10</v>
      </c>
      <c r="F109" s="1" t="s">
        <v>1150</v>
      </c>
      <c r="G109" s="5">
        <v>1700.11</v>
      </c>
      <c r="H109" s="3" t="s">
        <v>12</v>
      </c>
    </row>
    <row r="110" spans="1:8" x14ac:dyDescent="0.3">
      <c r="A110" s="108">
        <v>46213</v>
      </c>
      <c r="B110" s="1" t="s">
        <v>25</v>
      </c>
      <c r="C110" s="1" t="s">
        <v>20</v>
      </c>
      <c r="D110" s="1" t="s">
        <v>9</v>
      </c>
      <c r="E110" s="1" t="s">
        <v>10</v>
      </c>
      <c r="F110" s="1" t="s">
        <v>1151</v>
      </c>
      <c r="G110" s="5">
        <v>158410.21</v>
      </c>
      <c r="H110" s="3" t="s">
        <v>12</v>
      </c>
    </row>
    <row r="111" spans="1:8" x14ac:dyDescent="0.3">
      <c r="A111" s="108">
        <v>46213</v>
      </c>
      <c r="B111" s="1" t="s">
        <v>25</v>
      </c>
      <c r="C111" s="1" t="s">
        <v>20</v>
      </c>
      <c r="D111" s="1" t="s">
        <v>9</v>
      </c>
      <c r="E111" s="1" t="s">
        <v>28</v>
      </c>
      <c r="F111" s="1" t="s">
        <v>1151</v>
      </c>
      <c r="G111" s="5">
        <v>9981.98</v>
      </c>
      <c r="H111" s="3" t="s">
        <v>12</v>
      </c>
    </row>
    <row r="112" spans="1:8" x14ac:dyDescent="0.3">
      <c r="A112" s="108">
        <v>46212</v>
      </c>
      <c r="B112" s="1" t="s">
        <v>29</v>
      </c>
      <c r="C112" s="1" t="s">
        <v>8</v>
      </c>
      <c r="D112" s="1" t="s">
        <v>9</v>
      </c>
      <c r="E112" s="1" t="s">
        <v>10</v>
      </c>
      <c r="F112" s="1" t="s">
        <v>1152</v>
      </c>
      <c r="G112" s="5">
        <v>1005</v>
      </c>
      <c r="H112" s="3" t="s">
        <v>12</v>
      </c>
    </row>
    <row r="113" spans="1:8" x14ac:dyDescent="0.3">
      <c r="A113" s="108">
        <v>46212</v>
      </c>
      <c r="B113" s="1" t="s">
        <v>17</v>
      </c>
      <c r="C113" s="1" t="s">
        <v>20</v>
      </c>
      <c r="D113" s="1" t="s">
        <v>9</v>
      </c>
      <c r="E113" s="1" t="s">
        <v>10</v>
      </c>
      <c r="F113" s="1" t="s">
        <v>1153</v>
      </c>
      <c r="G113" s="5">
        <v>327.76</v>
      </c>
      <c r="H113" s="3" t="s">
        <v>12</v>
      </c>
    </row>
    <row r="114" spans="1:8" x14ac:dyDescent="0.3">
      <c r="A114" s="108">
        <v>46212</v>
      </c>
      <c r="B114" s="1" t="s">
        <v>34</v>
      </c>
      <c r="C114" s="1" t="s">
        <v>8</v>
      </c>
      <c r="D114" s="1" t="s">
        <v>9</v>
      </c>
      <c r="E114" s="1" t="s">
        <v>10</v>
      </c>
      <c r="F114" s="1" t="s">
        <v>1154</v>
      </c>
      <c r="G114" s="5">
        <v>500</v>
      </c>
      <c r="H114" s="3" t="s">
        <v>12</v>
      </c>
    </row>
    <row r="115" spans="1:8" x14ac:dyDescent="0.3">
      <c r="A115" s="108">
        <v>46211</v>
      </c>
      <c r="B115" s="1" t="s">
        <v>226</v>
      </c>
      <c r="C115" s="1" t="s">
        <v>30</v>
      </c>
      <c r="D115" s="1" t="s">
        <v>9</v>
      </c>
      <c r="E115" s="1" t="s">
        <v>10</v>
      </c>
      <c r="F115" s="1" t="s">
        <v>1155</v>
      </c>
      <c r="G115" s="5">
        <v>2800</v>
      </c>
      <c r="H115" s="3" t="s">
        <v>12</v>
      </c>
    </row>
    <row r="116" spans="1:8" x14ac:dyDescent="0.3">
      <c r="A116" s="108">
        <v>46211</v>
      </c>
      <c r="B116" s="1" t="s">
        <v>34</v>
      </c>
      <c r="C116" s="1" t="s">
        <v>8</v>
      </c>
      <c r="D116" s="1" t="s">
        <v>9</v>
      </c>
      <c r="E116" s="1" t="s">
        <v>10</v>
      </c>
      <c r="F116" s="1" t="s">
        <v>1156</v>
      </c>
      <c r="G116" s="5">
        <v>800.11</v>
      </c>
      <c r="H116" s="3" t="s">
        <v>12</v>
      </c>
    </row>
    <row r="117" spans="1:8" x14ac:dyDescent="0.3">
      <c r="A117" s="108">
        <v>46211</v>
      </c>
      <c r="B117" s="1" t="s">
        <v>34</v>
      </c>
      <c r="C117" s="1" t="s">
        <v>8</v>
      </c>
      <c r="D117" s="1" t="s">
        <v>9</v>
      </c>
      <c r="E117" s="1" t="s">
        <v>10</v>
      </c>
      <c r="F117" s="1" t="s">
        <v>1157</v>
      </c>
      <c r="G117" s="5">
        <v>660.2</v>
      </c>
      <c r="H117" s="3" t="s">
        <v>12</v>
      </c>
    </row>
    <row r="118" spans="1:8" x14ac:dyDescent="0.3">
      <c r="A118" s="108">
        <v>46211</v>
      </c>
      <c r="B118" s="1" t="s">
        <v>7</v>
      </c>
      <c r="C118" s="1" t="s">
        <v>8</v>
      </c>
      <c r="D118" s="1" t="s">
        <v>9</v>
      </c>
      <c r="E118" s="1" t="s">
        <v>10</v>
      </c>
      <c r="F118" s="1" t="s">
        <v>1158</v>
      </c>
      <c r="G118" s="5">
        <v>499</v>
      </c>
      <c r="H118" s="3" t="s">
        <v>12</v>
      </c>
    </row>
    <row r="119" spans="1:8" x14ac:dyDescent="0.3">
      <c r="A119" s="108">
        <v>46210</v>
      </c>
      <c r="B119" s="1" t="s">
        <v>60</v>
      </c>
      <c r="C119" s="1" t="s">
        <v>8</v>
      </c>
      <c r="D119" s="1" t="s">
        <v>9</v>
      </c>
      <c r="E119" s="1" t="s">
        <v>10</v>
      </c>
      <c r="F119" s="1" t="s">
        <v>1159</v>
      </c>
      <c r="G119" s="5">
        <v>626.59</v>
      </c>
      <c r="H119" s="3" t="s">
        <v>12</v>
      </c>
    </row>
    <row r="120" spans="1:8" x14ac:dyDescent="0.3">
      <c r="A120" s="108">
        <v>46210</v>
      </c>
      <c r="B120" s="1" t="s">
        <v>34</v>
      </c>
      <c r="C120" s="1" t="s">
        <v>8</v>
      </c>
      <c r="D120" s="1" t="s">
        <v>9</v>
      </c>
      <c r="E120" s="1" t="s">
        <v>10</v>
      </c>
      <c r="F120" s="1" t="s">
        <v>1160</v>
      </c>
      <c r="G120" s="5">
        <v>438.47</v>
      </c>
      <c r="H120" s="3" t="s">
        <v>12</v>
      </c>
    </row>
    <row r="121" spans="1:8" x14ac:dyDescent="0.3">
      <c r="A121" s="108">
        <v>46210</v>
      </c>
      <c r="B121" s="1" t="s">
        <v>34</v>
      </c>
      <c r="C121" s="1" t="s">
        <v>8</v>
      </c>
      <c r="D121" s="1" t="s">
        <v>9</v>
      </c>
      <c r="E121" s="1" t="s">
        <v>10</v>
      </c>
      <c r="F121" s="1" t="s">
        <v>1161</v>
      </c>
      <c r="G121" s="5">
        <v>1000.39</v>
      </c>
      <c r="H121" s="3" t="s">
        <v>12</v>
      </c>
    </row>
    <row r="122" spans="1:8" x14ac:dyDescent="0.3">
      <c r="A122" s="108">
        <v>46210</v>
      </c>
      <c r="B122" s="1" t="s">
        <v>34</v>
      </c>
      <c r="C122" s="1" t="s">
        <v>8</v>
      </c>
      <c r="D122" s="1" t="s">
        <v>9</v>
      </c>
      <c r="E122" s="1" t="s">
        <v>10</v>
      </c>
      <c r="F122" s="1" t="s">
        <v>1162</v>
      </c>
      <c r="G122" s="5">
        <v>1708.43</v>
      </c>
      <c r="H122" s="3" t="s">
        <v>12</v>
      </c>
    </row>
    <row r="123" spans="1:8" x14ac:dyDescent="0.3">
      <c r="A123" s="108">
        <v>46210</v>
      </c>
      <c r="B123" s="1" t="s">
        <v>79</v>
      </c>
      <c r="C123" s="1" t="s">
        <v>8</v>
      </c>
      <c r="D123" s="1" t="s">
        <v>9</v>
      </c>
      <c r="E123" s="1" t="s">
        <v>10</v>
      </c>
      <c r="F123" s="1" t="s">
        <v>1163</v>
      </c>
      <c r="G123" s="5">
        <v>250</v>
      </c>
      <c r="H123" s="3" t="s">
        <v>12</v>
      </c>
    </row>
    <row r="124" spans="1:8" x14ac:dyDescent="0.3">
      <c r="A124" s="108">
        <v>46210</v>
      </c>
      <c r="B124" s="1" t="s">
        <v>15</v>
      </c>
      <c r="C124" s="1" t="s">
        <v>8</v>
      </c>
      <c r="D124" s="1" t="s">
        <v>9</v>
      </c>
      <c r="E124" s="1" t="s">
        <v>10</v>
      </c>
      <c r="F124" s="1" t="s">
        <v>1164</v>
      </c>
      <c r="G124" s="5">
        <v>350</v>
      </c>
      <c r="H124" s="3" t="s">
        <v>12</v>
      </c>
    </row>
    <row r="125" spans="1:8" x14ac:dyDescent="0.3">
      <c r="A125" s="108">
        <v>46210</v>
      </c>
      <c r="B125" s="1" t="s">
        <v>60</v>
      </c>
      <c r="C125" s="1" t="s">
        <v>20</v>
      </c>
      <c r="D125" s="1" t="s">
        <v>23</v>
      </c>
      <c r="E125" s="1" t="s">
        <v>28</v>
      </c>
      <c r="F125" s="1" t="s">
        <v>1204</v>
      </c>
      <c r="G125" s="5">
        <v>17626.05</v>
      </c>
      <c r="H125" s="3" t="s">
        <v>12</v>
      </c>
    </row>
    <row r="126" spans="1:8" x14ac:dyDescent="0.3">
      <c r="A126" s="108">
        <v>46210</v>
      </c>
      <c r="B126" s="1" t="s">
        <v>34</v>
      </c>
      <c r="C126" s="1" t="s">
        <v>8</v>
      </c>
      <c r="D126" s="1" t="s">
        <v>9</v>
      </c>
      <c r="E126" s="1" t="s">
        <v>10</v>
      </c>
      <c r="F126" s="1" t="s">
        <v>1165</v>
      </c>
      <c r="G126" s="5">
        <v>600</v>
      </c>
      <c r="H126" s="3" t="s">
        <v>12</v>
      </c>
    </row>
    <row r="127" spans="1:8" x14ac:dyDescent="0.3">
      <c r="A127" s="108">
        <v>46210</v>
      </c>
      <c r="B127" s="1" t="s">
        <v>34</v>
      </c>
      <c r="C127" s="1" t="s">
        <v>8</v>
      </c>
      <c r="D127" s="1" t="s">
        <v>9</v>
      </c>
      <c r="E127" s="1" t="s">
        <v>10</v>
      </c>
      <c r="F127" s="1" t="s">
        <v>1166</v>
      </c>
      <c r="G127" s="5">
        <v>800</v>
      </c>
      <c r="H127" s="3" t="s">
        <v>12</v>
      </c>
    </row>
    <row r="128" spans="1:8" x14ac:dyDescent="0.3">
      <c r="A128" s="108">
        <v>46210</v>
      </c>
      <c r="B128" s="1" t="s">
        <v>60</v>
      </c>
      <c r="C128" s="1" t="s">
        <v>20</v>
      </c>
      <c r="D128" s="1" t="s">
        <v>9</v>
      </c>
      <c r="E128" s="1" t="s">
        <v>10</v>
      </c>
      <c r="F128" s="1" t="s">
        <v>1167</v>
      </c>
      <c r="G128" s="5">
        <v>6960</v>
      </c>
      <c r="H128" s="3" t="s">
        <v>12</v>
      </c>
    </row>
    <row r="129" spans="1:8" x14ac:dyDescent="0.3">
      <c r="A129" s="108">
        <v>46210</v>
      </c>
      <c r="B129" s="1" t="s">
        <v>34</v>
      </c>
      <c r="C129" s="1" t="s">
        <v>8</v>
      </c>
      <c r="D129" s="1" t="s">
        <v>9</v>
      </c>
      <c r="E129" s="1" t="s">
        <v>10</v>
      </c>
      <c r="F129" s="1" t="s">
        <v>1168</v>
      </c>
      <c r="G129" s="5">
        <v>1000.03</v>
      </c>
      <c r="H129" s="3" t="s">
        <v>12</v>
      </c>
    </row>
    <row r="130" spans="1:8" x14ac:dyDescent="0.3">
      <c r="A130" s="108">
        <v>46209</v>
      </c>
      <c r="B130" s="1" t="s">
        <v>169</v>
      </c>
      <c r="C130" s="1" t="s">
        <v>20</v>
      </c>
      <c r="D130" s="1" t="s">
        <v>9</v>
      </c>
      <c r="E130" s="1" t="s">
        <v>10</v>
      </c>
      <c r="F130" s="1" t="s">
        <v>1169</v>
      </c>
      <c r="G130" s="5">
        <v>757.87</v>
      </c>
      <c r="H130" s="3" t="s">
        <v>12</v>
      </c>
    </row>
    <row r="131" spans="1:8" x14ac:dyDescent="0.3">
      <c r="A131" s="108">
        <v>46209</v>
      </c>
      <c r="B131" s="1" t="s">
        <v>34</v>
      </c>
      <c r="C131" s="1" t="s">
        <v>8</v>
      </c>
      <c r="D131" s="1" t="s">
        <v>9</v>
      </c>
      <c r="E131" s="1" t="s">
        <v>10</v>
      </c>
      <c r="F131" s="1" t="s">
        <v>1170</v>
      </c>
      <c r="G131" s="5">
        <v>800</v>
      </c>
      <c r="H131" s="3" t="s">
        <v>12</v>
      </c>
    </row>
    <row r="132" spans="1:8" x14ac:dyDescent="0.3">
      <c r="A132" s="108">
        <v>46209</v>
      </c>
      <c r="B132" s="1" t="s">
        <v>34</v>
      </c>
      <c r="C132" s="1" t="s">
        <v>8</v>
      </c>
      <c r="D132" s="1" t="s">
        <v>9</v>
      </c>
      <c r="E132" s="1" t="s">
        <v>10</v>
      </c>
      <c r="F132" s="1" t="s">
        <v>1171</v>
      </c>
      <c r="G132" s="5">
        <v>800</v>
      </c>
      <c r="H132" s="3" t="s">
        <v>12</v>
      </c>
    </row>
    <row r="133" spans="1:8" x14ac:dyDescent="0.3">
      <c r="A133" s="108">
        <v>46209</v>
      </c>
      <c r="B133" s="1" t="s">
        <v>81</v>
      </c>
      <c r="C133" s="1" t="s">
        <v>8</v>
      </c>
      <c r="D133" s="1" t="s">
        <v>9</v>
      </c>
      <c r="E133" s="1" t="s">
        <v>10</v>
      </c>
      <c r="F133" s="1" t="s">
        <v>1172</v>
      </c>
      <c r="G133" s="5">
        <v>361</v>
      </c>
      <c r="H133" s="3" t="s">
        <v>12</v>
      </c>
    </row>
    <row r="134" spans="1:8" x14ac:dyDescent="0.3">
      <c r="A134" s="108">
        <v>46207</v>
      </c>
      <c r="B134" s="1" t="s">
        <v>79</v>
      </c>
      <c r="C134" s="1" t="s">
        <v>8</v>
      </c>
      <c r="D134" s="1" t="s">
        <v>9</v>
      </c>
      <c r="E134" s="1" t="s">
        <v>10</v>
      </c>
      <c r="F134" s="1" t="s">
        <v>1173</v>
      </c>
      <c r="G134" s="5">
        <v>136.5</v>
      </c>
      <c r="H134" s="3" t="s">
        <v>12</v>
      </c>
    </row>
    <row r="135" spans="1:8" x14ac:dyDescent="0.3">
      <c r="A135" s="108">
        <v>46207</v>
      </c>
      <c r="B135" s="1" t="s">
        <v>34</v>
      </c>
      <c r="C135" s="1" t="s">
        <v>8</v>
      </c>
      <c r="D135" s="1" t="s">
        <v>9</v>
      </c>
      <c r="E135" s="1" t="s">
        <v>10</v>
      </c>
      <c r="F135" s="1" t="s">
        <v>1174</v>
      </c>
      <c r="G135" s="5">
        <v>860.15</v>
      </c>
      <c r="H135" s="3" t="s">
        <v>12</v>
      </c>
    </row>
    <row r="136" spans="1:8" x14ac:dyDescent="0.3">
      <c r="A136" s="108">
        <v>46206</v>
      </c>
      <c r="B136" s="1" t="s">
        <v>255</v>
      </c>
      <c r="C136" s="1" t="s">
        <v>30</v>
      </c>
      <c r="D136" s="1" t="s">
        <v>9</v>
      </c>
      <c r="E136" s="1" t="s">
        <v>1175</v>
      </c>
      <c r="F136" s="1" t="s">
        <v>1176</v>
      </c>
      <c r="G136" s="5">
        <v>10568.93</v>
      </c>
      <c r="H136" s="3" t="s">
        <v>12</v>
      </c>
    </row>
    <row r="137" spans="1:8" x14ac:dyDescent="0.3">
      <c r="A137" s="108">
        <v>46206</v>
      </c>
      <c r="B137" s="1" t="s">
        <v>453</v>
      </c>
      <c r="C137" s="1" t="s">
        <v>30</v>
      </c>
      <c r="D137" s="1" t="s">
        <v>9</v>
      </c>
      <c r="E137" s="1" t="s">
        <v>10</v>
      </c>
      <c r="F137" s="1" t="s">
        <v>1177</v>
      </c>
      <c r="G137" s="5">
        <f>605</f>
        <v>605</v>
      </c>
      <c r="H137" s="3" t="s">
        <v>12</v>
      </c>
    </row>
    <row r="138" spans="1:8" x14ac:dyDescent="0.3">
      <c r="A138" s="108">
        <v>46206</v>
      </c>
      <c r="B138" s="1" t="s">
        <v>50</v>
      </c>
      <c r="C138" s="1" t="s">
        <v>30</v>
      </c>
      <c r="D138" s="1" t="s">
        <v>23</v>
      </c>
      <c r="E138" s="1" t="s">
        <v>10</v>
      </c>
      <c r="F138" s="1" t="s">
        <v>1178</v>
      </c>
      <c r="G138" s="5">
        <v>586</v>
      </c>
      <c r="H138" s="3" t="s">
        <v>12</v>
      </c>
    </row>
    <row r="139" spans="1:8" x14ac:dyDescent="0.3">
      <c r="A139" s="108">
        <v>46206</v>
      </c>
      <c r="B139" s="1" t="s">
        <v>19</v>
      </c>
      <c r="C139" s="1" t="s">
        <v>8</v>
      </c>
      <c r="D139" s="1" t="s">
        <v>9</v>
      </c>
      <c r="E139" s="1" t="s">
        <v>10</v>
      </c>
      <c r="F139" s="1" t="s">
        <v>1179</v>
      </c>
      <c r="G139" s="5">
        <v>6460.42</v>
      </c>
      <c r="H139" s="3" t="s">
        <v>12</v>
      </c>
    </row>
    <row r="140" spans="1:8" x14ac:dyDescent="0.3">
      <c r="A140" s="108">
        <v>46206</v>
      </c>
      <c r="B140" s="1" t="s">
        <v>17</v>
      </c>
      <c r="C140" s="1" t="s">
        <v>8</v>
      </c>
      <c r="D140" s="1" t="s">
        <v>23</v>
      </c>
      <c r="E140" s="1" t="s">
        <v>10</v>
      </c>
      <c r="F140" s="1" t="s">
        <v>1180</v>
      </c>
      <c r="G140" s="5">
        <v>327.76</v>
      </c>
      <c r="H140" s="3" t="s">
        <v>12</v>
      </c>
    </row>
    <row r="141" spans="1:8" x14ac:dyDescent="0.3">
      <c r="A141" s="108">
        <v>46206</v>
      </c>
      <c r="B141" s="1" t="s">
        <v>29</v>
      </c>
      <c r="C141" s="1" t="s">
        <v>8</v>
      </c>
      <c r="D141" s="1" t="s">
        <v>9</v>
      </c>
      <c r="E141" s="1" t="s">
        <v>10</v>
      </c>
      <c r="F141" s="1" t="s">
        <v>1181</v>
      </c>
      <c r="G141" s="5">
        <v>2470</v>
      </c>
      <c r="H141" s="3" t="s">
        <v>12</v>
      </c>
    </row>
    <row r="142" spans="1:8" x14ac:dyDescent="0.3">
      <c r="A142" s="108">
        <v>46206</v>
      </c>
      <c r="B142" s="1" t="s">
        <v>13</v>
      </c>
      <c r="C142" s="1" t="s">
        <v>8</v>
      </c>
      <c r="D142" s="1" t="s">
        <v>9</v>
      </c>
      <c r="E142" s="1" t="s">
        <v>10</v>
      </c>
      <c r="F142" s="1" t="s">
        <v>1182</v>
      </c>
      <c r="G142" s="5">
        <v>7530</v>
      </c>
      <c r="H142" s="3" t="s">
        <v>12</v>
      </c>
    </row>
    <row r="143" spans="1:8" x14ac:dyDescent="0.3">
      <c r="A143" s="108">
        <v>46206</v>
      </c>
      <c r="B143" s="1" t="s">
        <v>25</v>
      </c>
      <c r="C143" s="1" t="s">
        <v>20</v>
      </c>
      <c r="D143" s="1" t="s">
        <v>9</v>
      </c>
      <c r="E143" s="1" t="s">
        <v>10</v>
      </c>
      <c r="F143" s="1" t="s">
        <v>1183</v>
      </c>
      <c r="G143" s="5">
        <v>159153.48000000001</v>
      </c>
      <c r="H143" s="3" t="s">
        <v>12</v>
      </c>
    </row>
    <row r="144" spans="1:8" x14ac:dyDescent="0.3">
      <c r="A144" s="108">
        <v>46206</v>
      </c>
      <c r="B144" s="1" t="s">
        <v>25</v>
      </c>
      <c r="C144" s="1" t="s">
        <v>20</v>
      </c>
      <c r="D144" s="1" t="s">
        <v>9</v>
      </c>
      <c r="E144" s="1" t="s">
        <v>28</v>
      </c>
      <c r="F144" s="1" t="s">
        <v>1183</v>
      </c>
      <c r="G144" s="5">
        <v>9111.98</v>
      </c>
      <c r="H144" s="3" t="s">
        <v>12</v>
      </c>
    </row>
    <row r="145" spans="1:8" x14ac:dyDescent="0.3">
      <c r="A145" s="108">
        <v>46205</v>
      </c>
      <c r="B145" s="1" t="s">
        <v>13</v>
      </c>
      <c r="C145" s="1" t="s">
        <v>102</v>
      </c>
      <c r="D145" s="1" t="s">
        <v>23</v>
      </c>
      <c r="E145" s="1" t="s">
        <v>10</v>
      </c>
      <c r="F145" s="1" t="s">
        <v>1184</v>
      </c>
      <c r="G145" s="5">
        <v>13164.7</v>
      </c>
      <c r="H145" s="3" t="s">
        <v>12</v>
      </c>
    </row>
    <row r="146" spans="1:8" x14ac:dyDescent="0.3">
      <c r="A146" s="108">
        <v>46205</v>
      </c>
      <c r="B146" s="1" t="s">
        <v>160</v>
      </c>
      <c r="C146" s="1" t="s">
        <v>30</v>
      </c>
      <c r="D146" s="1" t="s">
        <v>9</v>
      </c>
      <c r="E146" s="1" t="s">
        <v>10</v>
      </c>
      <c r="F146" s="1" t="s">
        <v>1185</v>
      </c>
      <c r="G146" s="5">
        <v>155.83000000000001</v>
      </c>
      <c r="H146" s="3" t="s">
        <v>12</v>
      </c>
    </row>
    <row r="147" spans="1:8" x14ac:dyDescent="0.3">
      <c r="A147" s="108">
        <v>46205</v>
      </c>
      <c r="B147" s="1" t="s">
        <v>45</v>
      </c>
      <c r="C147" s="1" t="s">
        <v>8</v>
      </c>
      <c r="D147" s="1" t="s">
        <v>9</v>
      </c>
      <c r="E147" s="1" t="s">
        <v>10</v>
      </c>
      <c r="F147" s="1" t="s">
        <v>423</v>
      </c>
      <c r="G147" s="5">
        <v>1974.6</v>
      </c>
      <c r="H147" s="3" t="s">
        <v>12</v>
      </c>
    </row>
    <row r="148" spans="1:8" x14ac:dyDescent="0.3">
      <c r="A148" s="108">
        <v>46205</v>
      </c>
      <c r="B148" s="1" t="s">
        <v>45</v>
      </c>
      <c r="C148" s="1" t="s">
        <v>8</v>
      </c>
      <c r="D148" s="1" t="s">
        <v>9</v>
      </c>
      <c r="E148" s="1" t="s">
        <v>10</v>
      </c>
      <c r="F148" s="1" t="s">
        <v>1186</v>
      </c>
      <c r="G148" s="5">
        <v>1284.97</v>
      </c>
      <c r="H148" s="3" t="s">
        <v>12</v>
      </c>
    </row>
    <row r="149" spans="1:8" x14ac:dyDescent="0.3">
      <c r="A149" s="108">
        <v>46205</v>
      </c>
      <c r="B149" s="1" t="s">
        <v>226</v>
      </c>
      <c r="C149" s="1" t="s">
        <v>20</v>
      </c>
      <c r="D149" s="1" t="s">
        <v>23</v>
      </c>
      <c r="E149" s="1" t="s">
        <v>10</v>
      </c>
      <c r="F149" s="1" t="s">
        <v>1187</v>
      </c>
      <c r="G149" s="5">
        <v>8760.76</v>
      </c>
      <c r="H149" s="3" t="s">
        <v>12</v>
      </c>
    </row>
    <row r="150" spans="1:8" x14ac:dyDescent="0.3">
      <c r="A150" s="108">
        <v>46205</v>
      </c>
      <c r="B150" s="1" t="s">
        <v>226</v>
      </c>
      <c r="C150" s="1" t="s">
        <v>20</v>
      </c>
      <c r="D150" s="1" t="s">
        <v>9</v>
      </c>
      <c r="E150" s="1" t="s">
        <v>10</v>
      </c>
      <c r="F150" s="1" t="s">
        <v>1188</v>
      </c>
      <c r="G150" s="5">
        <v>26158.89</v>
      </c>
      <c r="H150" s="3" t="s">
        <v>12</v>
      </c>
    </row>
    <row r="151" spans="1:8" x14ac:dyDescent="0.3">
      <c r="A151" s="108">
        <v>46205</v>
      </c>
      <c r="B151" s="1" t="s">
        <v>226</v>
      </c>
      <c r="C151" s="1" t="s">
        <v>20</v>
      </c>
      <c r="D151" s="1" t="s">
        <v>9</v>
      </c>
      <c r="E151" s="1" t="s">
        <v>10</v>
      </c>
      <c r="F151" s="1" t="s">
        <v>1189</v>
      </c>
      <c r="G151" s="5">
        <v>43669.01</v>
      </c>
      <c r="H151" s="3" t="s">
        <v>12</v>
      </c>
    </row>
    <row r="152" spans="1:8" x14ac:dyDescent="0.3">
      <c r="A152" s="108">
        <v>46205</v>
      </c>
      <c r="B152" s="1" t="s">
        <v>15</v>
      </c>
      <c r="C152" s="1" t="s">
        <v>8</v>
      </c>
      <c r="D152" s="1" t="s">
        <v>9</v>
      </c>
      <c r="E152" s="1" t="s">
        <v>10</v>
      </c>
      <c r="F152" s="1" t="s">
        <v>1190</v>
      </c>
      <c r="G152" s="5">
        <v>9834.0400000000009</v>
      </c>
      <c r="H152" s="3" t="s">
        <v>12</v>
      </c>
    </row>
    <row r="153" spans="1:8" x14ac:dyDescent="0.3">
      <c r="A153" s="108">
        <v>46205</v>
      </c>
      <c r="B153" s="1" t="s">
        <v>15</v>
      </c>
      <c r="C153" s="1" t="s">
        <v>8</v>
      </c>
      <c r="D153" s="1" t="s">
        <v>9</v>
      </c>
      <c r="E153" s="1" t="s">
        <v>10</v>
      </c>
      <c r="F153" s="1" t="s">
        <v>1191</v>
      </c>
      <c r="G153" s="5">
        <v>90</v>
      </c>
      <c r="H153" s="3" t="s">
        <v>12</v>
      </c>
    </row>
    <row r="154" spans="1:8" x14ac:dyDescent="0.3">
      <c r="A154" s="108">
        <v>46205</v>
      </c>
      <c r="B154" s="1" t="s">
        <v>163</v>
      </c>
      <c r="C154" s="1" t="s">
        <v>8</v>
      </c>
      <c r="D154" s="1" t="s">
        <v>9</v>
      </c>
      <c r="E154" s="1" t="s">
        <v>10</v>
      </c>
      <c r="F154" s="1" t="s">
        <v>1192</v>
      </c>
      <c r="G154" s="5">
        <v>403.46</v>
      </c>
      <c r="H154" s="3" t="s">
        <v>12</v>
      </c>
    </row>
    <row r="155" spans="1:8" x14ac:dyDescent="0.3">
      <c r="A155" s="108">
        <v>46205</v>
      </c>
      <c r="B155" s="1" t="s">
        <v>15</v>
      </c>
      <c r="C155" s="1" t="s">
        <v>8</v>
      </c>
      <c r="D155" s="1" t="s">
        <v>9</v>
      </c>
      <c r="E155" s="1" t="s">
        <v>10</v>
      </c>
      <c r="F155" s="1" t="s">
        <v>1193</v>
      </c>
      <c r="G155" s="5">
        <v>115.74</v>
      </c>
      <c r="H155" s="3" t="s">
        <v>12</v>
      </c>
    </row>
    <row r="156" spans="1:8" x14ac:dyDescent="0.3">
      <c r="A156" s="108">
        <v>46205</v>
      </c>
      <c r="B156" s="1" t="s">
        <v>15</v>
      </c>
      <c r="C156" s="1" t="s">
        <v>8</v>
      </c>
      <c r="D156" s="1" t="s">
        <v>9</v>
      </c>
      <c r="E156" s="1" t="s">
        <v>10</v>
      </c>
      <c r="F156" s="1" t="s">
        <v>1194</v>
      </c>
      <c r="G156" s="5">
        <v>1474.97</v>
      </c>
      <c r="H156" s="3" t="s">
        <v>12</v>
      </c>
    </row>
    <row r="157" spans="1:8" x14ac:dyDescent="0.3">
      <c r="A157" s="108">
        <v>46205</v>
      </c>
      <c r="B157" s="1" t="s">
        <v>226</v>
      </c>
      <c r="C157" s="1" t="s">
        <v>102</v>
      </c>
      <c r="D157" s="1" t="s">
        <v>9</v>
      </c>
      <c r="E157" s="1" t="s">
        <v>10</v>
      </c>
      <c r="F157" s="1" t="s">
        <v>620</v>
      </c>
      <c r="G157" s="5">
        <v>3403.26</v>
      </c>
      <c r="H157" s="3" t="s">
        <v>12</v>
      </c>
    </row>
    <row r="158" spans="1:8" x14ac:dyDescent="0.3">
      <c r="A158" s="108">
        <v>46204</v>
      </c>
      <c r="B158" s="1" t="s">
        <v>34</v>
      </c>
      <c r="C158" s="1" t="s">
        <v>8</v>
      </c>
      <c r="D158" s="1" t="s">
        <v>9</v>
      </c>
      <c r="E158" s="1" t="s">
        <v>10</v>
      </c>
      <c r="F158" s="1" t="s">
        <v>1195</v>
      </c>
      <c r="G158" s="5">
        <v>1125.6600000000001</v>
      </c>
      <c r="H158" s="3" t="s">
        <v>12</v>
      </c>
    </row>
    <row r="159" spans="1:8" x14ac:dyDescent="0.3">
      <c r="A159" s="108">
        <v>46204</v>
      </c>
      <c r="B159" s="1" t="s">
        <v>34</v>
      </c>
      <c r="C159" s="1" t="s">
        <v>8</v>
      </c>
      <c r="D159" s="1" t="s">
        <v>9</v>
      </c>
      <c r="E159" s="1" t="s">
        <v>10</v>
      </c>
      <c r="F159" s="1" t="s">
        <v>1196</v>
      </c>
      <c r="G159" s="5">
        <v>1141.58</v>
      </c>
      <c r="H159" s="3" t="s">
        <v>12</v>
      </c>
    </row>
    <row r="160" spans="1:8" x14ac:dyDescent="0.3">
      <c r="A160" s="108">
        <v>46204</v>
      </c>
      <c r="B160" s="1" t="s">
        <v>81</v>
      </c>
      <c r="C160" s="1" t="s">
        <v>30</v>
      </c>
      <c r="D160" s="1" t="s">
        <v>9</v>
      </c>
      <c r="E160" s="1" t="s">
        <v>10</v>
      </c>
      <c r="F160" s="1" t="s">
        <v>1197</v>
      </c>
      <c r="G160" s="5">
        <v>34</v>
      </c>
      <c r="H160" s="3" t="s">
        <v>12</v>
      </c>
    </row>
    <row r="161" spans="1:8" x14ac:dyDescent="0.3">
      <c r="A161" s="108">
        <v>46204</v>
      </c>
      <c r="B161" s="1" t="s">
        <v>50</v>
      </c>
      <c r="C161" s="1" t="s">
        <v>30</v>
      </c>
      <c r="D161" s="1" t="s">
        <v>9</v>
      </c>
      <c r="E161" s="1" t="s">
        <v>28</v>
      </c>
      <c r="F161" s="1" t="s">
        <v>1198</v>
      </c>
      <c r="G161" s="5">
        <v>88</v>
      </c>
      <c r="H161" s="3" t="s">
        <v>12</v>
      </c>
    </row>
    <row r="162" spans="1:8" x14ac:dyDescent="0.3">
      <c r="A162" s="108">
        <v>46204</v>
      </c>
      <c r="B162" s="1" t="s">
        <v>15</v>
      </c>
      <c r="C162" s="1" t="s">
        <v>8</v>
      </c>
      <c r="D162" s="1" t="s">
        <v>9</v>
      </c>
      <c r="E162" s="1" t="s">
        <v>10</v>
      </c>
      <c r="F162" s="1" t="s">
        <v>1199</v>
      </c>
      <c r="G162" s="5">
        <v>2222.34</v>
      </c>
      <c r="H162" s="3" t="s">
        <v>12</v>
      </c>
    </row>
    <row r="163" spans="1:8" x14ac:dyDescent="0.3">
      <c r="A163" s="108">
        <v>46204</v>
      </c>
      <c r="B163" s="1" t="s">
        <v>45</v>
      </c>
      <c r="C163" s="1" t="s">
        <v>8</v>
      </c>
      <c r="D163" s="1" t="s">
        <v>9</v>
      </c>
      <c r="E163" s="1" t="s">
        <v>10</v>
      </c>
      <c r="F163" s="1" t="s">
        <v>1200</v>
      </c>
      <c r="G163" s="5">
        <v>769.45</v>
      </c>
      <c r="H163" s="3" t="s">
        <v>12</v>
      </c>
    </row>
    <row r="164" spans="1:8" x14ac:dyDescent="0.3">
      <c r="A164" s="108">
        <v>46204</v>
      </c>
      <c r="B164" s="1" t="s">
        <v>45</v>
      </c>
      <c r="C164" s="1" t="s">
        <v>8</v>
      </c>
      <c r="D164" s="1" t="s">
        <v>9</v>
      </c>
      <c r="E164" s="1" t="s">
        <v>10</v>
      </c>
      <c r="F164" s="1" t="s">
        <v>46</v>
      </c>
      <c r="G164" s="5">
        <v>6727.19</v>
      </c>
      <c r="H164" s="3" t="s">
        <v>12</v>
      </c>
    </row>
    <row r="165" spans="1:8" x14ac:dyDescent="0.3">
      <c r="A165" s="108">
        <v>46204</v>
      </c>
      <c r="B165" s="1" t="s">
        <v>154</v>
      </c>
      <c r="C165" s="1" t="s">
        <v>20</v>
      </c>
      <c r="D165" s="1" t="s">
        <v>9</v>
      </c>
      <c r="E165" s="1" t="s">
        <v>10</v>
      </c>
      <c r="F165" s="1" t="s">
        <v>1201</v>
      </c>
      <c r="G165" s="5">
        <v>16028.4</v>
      </c>
      <c r="H165" s="3" t="s">
        <v>12</v>
      </c>
    </row>
    <row r="166" spans="1:8" x14ac:dyDescent="0.3">
      <c r="A166" s="108">
        <v>46204</v>
      </c>
      <c r="B166" s="1" t="s">
        <v>226</v>
      </c>
      <c r="C166" s="1" t="s">
        <v>20</v>
      </c>
      <c r="D166" s="1" t="s">
        <v>9</v>
      </c>
      <c r="E166" s="1" t="s">
        <v>10</v>
      </c>
      <c r="F166" s="1" t="s">
        <v>1202</v>
      </c>
      <c r="G166" s="5">
        <v>9584.6200000000008</v>
      </c>
      <c r="H166" s="3" t="s">
        <v>12</v>
      </c>
    </row>
    <row r="167" spans="1:8" x14ac:dyDescent="0.3">
      <c r="A167" s="73">
        <v>46218</v>
      </c>
      <c r="B167" s="1" t="s">
        <v>29</v>
      </c>
      <c r="C167" s="1" t="s">
        <v>30</v>
      </c>
      <c r="D167" s="1" t="s">
        <v>23</v>
      </c>
      <c r="E167" s="1" t="s">
        <v>28</v>
      </c>
      <c r="F167" s="1" t="s">
        <v>450</v>
      </c>
      <c r="G167" s="5">
        <v>900</v>
      </c>
      <c r="H167" s="3" t="s">
        <v>12</v>
      </c>
    </row>
    <row r="168" spans="1:8" x14ac:dyDescent="0.3">
      <c r="A168" s="73">
        <v>46218</v>
      </c>
      <c r="B168" s="1" t="s">
        <v>29</v>
      </c>
      <c r="C168" s="1" t="s">
        <v>30</v>
      </c>
      <c r="D168" s="1" t="s">
        <v>23</v>
      </c>
      <c r="E168" s="1" t="s">
        <v>10</v>
      </c>
      <c r="F168" s="1" t="s">
        <v>450</v>
      </c>
      <c r="G168" s="5">
        <v>900</v>
      </c>
      <c r="H168" s="3" t="s">
        <v>12</v>
      </c>
    </row>
    <row r="169" spans="1:8" x14ac:dyDescent="0.3">
      <c r="G169" s="112">
        <f>SUM(G2:G168)</f>
        <v>1548613.9199999997</v>
      </c>
    </row>
  </sheetData>
  <autoFilter ref="A1:H168" xr:uid="{8096C4F0-A07E-477A-942E-5FEC6264C606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0E41C-800A-40ED-995B-B2C3F760F0D6}">
  <dimension ref="A1:L122"/>
  <sheetViews>
    <sheetView topLeftCell="A64" workbookViewId="0">
      <selection activeCell="O64" sqref="O64:P64"/>
    </sheetView>
  </sheetViews>
  <sheetFormatPr baseColWidth="10" defaultRowHeight="14.4" x14ac:dyDescent="0.3"/>
  <cols>
    <col min="1" max="1" width="11.5546875" style="68"/>
    <col min="2" max="2" width="13.88671875" style="68" customWidth="1"/>
    <col min="3" max="3" width="14.77734375" style="68" customWidth="1"/>
    <col min="4" max="16384" width="11.5546875" style="68"/>
  </cols>
  <sheetData>
    <row r="1" spans="1:12" hidden="1" x14ac:dyDescent="0.3"/>
    <row r="2" spans="1:12" hidden="1" x14ac:dyDescent="0.3">
      <c r="A2"/>
    </row>
    <row r="3" spans="1:12" hidden="1" x14ac:dyDescent="0.3"/>
    <row r="4" spans="1:12" hidden="1" x14ac:dyDescent="0.3"/>
    <row r="5" spans="1:12" hidden="1" x14ac:dyDescent="0.3"/>
    <row r="6" spans="1:12" hidden="1" x14ac:dyDescent="0.3"/>
    <row r="7" spans="1:12" hidden="1" x14ac:dyDescent="0.3"/>
    <row r="8" spans="1:12" hidden="1" x14ac:dyDescent="0.3"/>
    <row r="9" spans="1:12" hidden="1" x14ac:dyDescent="0.3"/>
    <row r="10" spans="1:12" hidden="1" x14ac:dyDescent="0.3"/>
    <row r="11" spans="1:12" hidden="1" x14ac:dyDescent="0.3">
      <c r="L11"/>
    </row>
    <row r="12" spans="1:12" hidden="1" x14ac:dyDescent="0.3"/>
    <row r="13" spans="1:12" hidden="1" x14ac:dyDescent="0.3"/>
    <row r="14" spans="1:12" hidden="1" x14ac:dyDescent="0.3"/>
    <row r="15" spans="1:12" hidden="1" x14ac:dyDescent="0.3"/>
    <row r="16" spans="1:12" hidden="1" x14ac:dyDescent="0.3">
      <c r="A16"/>
    </row>
    <row r="17" spans="1:3" hidden="1" x14ac:dyDescent="0.3">
      <c r="B17"/>
    </row>
    <row r="18" spans="1:3" hidden="1" x14ac:dyDescent="0.3">
      <c r="C18"/>
    </row>
    <row r="19" spans="1:3" hidden="1" x14ac:dyDescent="0.3"/>
    <row r="20" spans="1:3" hidden="1" x14ac:dyDescent="0.3"/>
    <row r="21" spans="1:3" hidden="1" x14ac:dyDescent="0.3"/>
    <row r="22" spans="1:3" hidden="1" x14ac:dyDescent="0.3"/>
    <row r="23" spans="1:3" hidden="1" x14ac:dyDescent="0.3"/>
    <row r="24" spans="1:3" hidden="1" x14ac:dyDescent="0.3"/>
    <row r="25" spans="1:3" hidden="1" x14ac:dyDescent="0.3"/>
    <row r="26" spans="1:3" hidden="1" x14ac:dyDescent="0.3"/>
    <row r="27" spans="1:3" ht="36" hidden="1" customHeight="1" x14ac:dyDescent="0.3"/>
    <row r="29" spans="1:3" hidden="1" x14ac:dyDescent="0.3"/>
    <row r="30" spans="1:3" hidden="1" x14ac:dyDescent="0.3"/>
    <row r="31" spans="1:3" ht="18" hidden="1" x14ac:dyDescent="0.3">
      <c r="A31" s="69" t="s">
        <v>769</v>
      </c>
    </row>
    <row r="32" spans="1:3" hidden="1" x14ac:dyDescent="0.3">
      <c r="A32" s="70"/>
    </row>
    <row r="33" spans="1:1" hidden="1" x14ac:dyDescent="0.3">
      <c r="A33" s="71" t="s">
        <v>770</v>
      </c>
    </row>
    <row r="34" spans="1:1" hidden="1" x14ac:dyDescent="0.3">
      <c r="A34" s="70"/>
    </row>
    <row r="35" spans="1:1" hidden="1" x14ac:dyDescent="0.3">
      <c r="A35" s="71" t="s">
        <v>771</v>
      </c>
    </row>
    <row r="36" spans="1:1" hidden="1" x14ac:dyDescent="0.3"/>
    <row r="37" spans="1:1" ht="18" hidden="1" x14ac:dyDescent="0.3">
      <c r="A37" s="69" t="s">
        <v>772</v>
      </c>
    </row>
    <row r="38" spans="1:1" hidden="1" x14ac:dyDescent="0.3">
      <c r="A38" s="70"/>
    </row>
    <row r="39" spans="1:1" hidden="1" x14ac:dyDescent="0.3">
      <c r="A39" s="71" t="s">
        <v>773</v>
      </c>
    </row>
    <row r="40" spans="1:1" hidden="1" x14ac:dyDescent="0.3">
      <c r="A40" s="70"/>
    </row>
    <row r="41" spans="1:1" hidden="1" x14ac:dyDescent="0.3">
      <c r="A41" s="71" t="s">
        <v>774</v>
      </c>
    </row>
    <row r="42" spans="1:1" hidden="1" x14ac:dyDescent="0.3"/>
    <row r="43" spans="1:1" ht="18" hidden="1" x14ac:dyDescent="0.3">
      <c r="A43" s="69" t="s">
        <v>775</v>
      </c>
    </row>
    <row r="44" spans="1:1" hidden="1" x14ac:dyDescent="0.3">
      <c r="A44" s="70"/>
    </row>
    <row r="45" spans="1:1" hidden="1" x14ac:dyDescent="0.3">
      <c r="A45" s="71" t="s">
        <v>776</v>
      </c>
    </row>
    <row r="46" spans="1:1" hidden="1" x14ac:dyDescent="0.3">
      <c r="A46" s="70"/>
    </row>
    <row r="47" spans="1:1" hidden="1" x14ac:dyDescent="0.3">
      <c r="A47" s="71" t="s">
        <v>777</v>
      </c>
    </row>
    <row r="48" spans="1:1" hidden="1" x14ac:dyDescent="0.3"/>
    <row r="49" spans="1:1" ht="18" hidden="1" x14ac:dyDescent="0.3">
      <c r="A49" s="69" t="s">
        <v>778</v>
      </c>
    </row>
    <row r="50" spans="1:1" hidden="1" x14ac:dyDescent="0.3">
      <c r="A50" s="70"/>
    </row>
    <row r="51" spans="1:1" hidden="1" x14ac:dyDescent="0.3">
      <c r="A51" s="71" t="s">
        <v>779</v>
      </c>
    </row>
    <row r="52" spans="1:1" hidden="1" x14ac:dyDescent="0.3">
      <c r="A52" s="70"/>
    </row>
    <row r="53" spans="1:1" hidden="1" x14ac:dyDescent="0.3">
      <c r="A53" s="71" t="s">
        <v>780</v>
      </c>
    </row>
    <row r="54" spans="1:1" hidden="1" x14ac:dyDescent="0.3"/>
    <row r="55" spans="1:1" ht="18" hidden="1" x14ac:dyDescent="0.3">
      <c r="A55" s="69" t="s">
        <v>781</v>
      </c>
    </row>
    <row r="56" spans="1:1" hidden="1" x14ac:dyDescent="0.3">
      <c r="A56" s="70"/>
    </row>
    <row r="57" spans="1:1" hidden="1" x14ac:dyDescent="0.3">
      <c r="A57" s="71" t="s">
        <v>782</v>
      </c>
    </row>
    <row r="58" spans="1:1" hidden="1" x14ac:dyDescent="0.3">
      <c r="A58" s="70"/>
    </row>
    <row r="59" spans="1:1" hidden="1" x14ac:dyDescent="0.3">
      <c r="A59" s="71" t="s">
        <v>783</v>
      </c>
    </row>
    <row r="60" spans="1:1" hidden="1" x14ac:dyDescent="0.3"/>
    <row r="61" spans="1:1" hidden="1" x14ac:dyDescent="0.3">
      <c r="A61" s="72" t="s">
        <v>784</v>
      </c>
    </row>
    <row r="92" spans="1:1" x14ac:dyDescent="0.3">
      <c r="A92" t="s">
        <v>896</v>
      </c>
    </row>
    <row r="93" spans="1:1" x14ac:dyDescent="0.3">
      <c r="A93" s="68" t="s">
        <v>897</v>
      </c>
    </row>
    <row r="94" spans="1:1" x14ac:dyDescent="0.3">
      <c r="A94" s="68" t="s">
        <v>898</v>
      </c>
    </row>
    <row r="96" spans="1:1" x14ac:dyDescent="0.3">
      <c r="A96" s="68" t="s">
        <v>899</v>
      </c>
    </row>
    <row r="97" spans="1:7" x14ac:dyDescent="0.3">
      <c r="A97" s="68" t="s">
        <v>900</v>
      </c>
      <c r="B97" s="68" t="s">
        <v>1</v>
      </c>
      <c r="C97" s="68" t="s">
        <v>901</v>
      </c>
      <c r="D97" s="68" t="s">
        <v>902</v>
      </c>
    </row>
    <row r="98" spans="1:7" x14ac:dyDescent="0.3">
      <c r="A98" s="68">
        <v>1</v>
      </c>
      <c r="B98" s="68" t="s">
        <v>25</v>
      </c>
      <c r="C98" s="79">
        <v>3773681.32</v>
      </c>
      <c r="D98" s="80">
        <v>0.55900000000000005</v>
      </c>
      <c r="G98"/>
    </row>
    <row r="99" spans="1:7" x14ac:dyDescent="0.3">
      <c r="A99" s="68">
        <v>2</v>
      </c>
      <c r="B99" s="68" t="s">
        <v>135</v>
      </c>
      <c r="C99" s="79">
        <v>619757.92000000004</v>
      </c>
      <c r="D99" s="80">
        <v>9.1999999999999998E-2</v>
      </c>
    </row>
    <row r="100" spans="1:7" x14ac:dyDescent="0.3">
      <c r="A100" s="68">
        <v>3</v>
      </c>
      <c r="B100" s="68" t="s">
        <v>903</v>
      </c>
      <c r="C100" s="79">
        <v>450509.03</v>
      </c>
      <c r="D100" s="80">
        <v>6.7000000000000004E-2</v>
      </c>
    </row>
    <row r="101" spans="1:7" x14ac:dyDescent="0.3">
      <c r="A101" s="68">
        <v>4</v>
      </c>
      <c r="B101" s="68" t="s">
        <v>904</v>
      </c>
      <c r="C101" s="79">
        <v>329162.12</v>
      </c>
      <c r="D101" s="80">
        <v>4.9000000000000002E-2</v>
      </c>
    </row>
    <row r="102" spans="1:7" x14ac:dyDescent="0.3">
      <c r="A102" s="68">
        <v>5</v>
      </c>
      <c r="B102" s="68" t="s">
        <v>34</v>
      </c>
      <c r="C102" s="79">
        <v>207819.21</v>
      </c>
      <c r="D102" s="80">
        <v>3.1E-2</v>
      </c>
    </row>
    <row r="103" spans="1:7" x14ac:dyDescent="0.3">
      <c r="A103" s="68">
        <v>6</v>
      </c>
      <c r="B103" s="68" t="s">
        <v>625</v>
      </c>
      <c r="C103" s="79">
        <v>171289.84</v>
      </c>
      <c r="D103" s="80">
        <v>2.5000000000000001E-2</v>
      </c>
    </row>
    <row r="104" spans="1:7" x14ac:dyDescent="0.3">
      <c r="A104" s="68">
        <v>7</v>
      </c>
      <c r="B104" s="68" t="s">
        <v>45</v>
      </c>
      <c r="C104" s="79">
        <v>160560.95000000001</v>
      </c>
      <c r="D104" s="80">
        <v>2.4E-2</v>
      </c>
    </row>
    <row r="105" spans="1:7" x14ac:dyDescent="0.3">
      <c r="A105" s="68">
        <v>8</v>
      </c>
      <c r="B105" s="68" t="s">
        <v>15</v>
      </c>
      <c r="C105" s="79">
        <v>123987.3</v>
      </c>
      <c r="D105" s="80">
        <v>1.7999999999999999E-2</v>
      </c>
    </row>
    <row r="106" spans="1:7" x14ac:dyDescent="0.3">
      <c r="A106" s="68">
        <v>9</v>
      </c>
      <c r="B106" s="68" t="s">
        <v>154</v>
      </c>
      <c r="C106" s="79">
        <v>106237.73</v>
      </c>
      <c r="D106" s="80">
        <v>1.6E-2</v>
      </c>
    </row>
    <row r="107" spans="1:7" x14ac:dyDescent="0.3">
      <c r="A107" s="68">
        <v>10</v>
      </c>
      <c r="B107" s="68" t="s">
        <v>370</v>
      </c>
      <c r="C107" s="79">
        <v>99792</v>
      </c>
      <c r="D107" s="80">
        <v>1.4999999999999999E-2</v>
      </c>
    </row>
    <row r="109" spans="1:7" x14ac:dyDescent="0.3">
      <c r="A109" s="68" t="s">
        <v>905</v>
      </c>
    </row>
    <row r="110" spans="1:7" x14ac:dyDescent="0.3">
      <c r="A110" s="68" t="s">
        <v>906</v>
      </c>
      <c r="B110" s="68" t="s">
        <v>907</v>
      </c>
      <c r="C110" s="68" t="s">
        <v>908</v>
      </c>
    </row>
    <row r="111" spans="1:7" x14ac:dyDescent="0.3">
      <c r="A111" s="68" t="s">
        <v>909</v>
      </c>
      <c r="B111" s="79">
        <v>1660050.33</v>
      </c>
      <c r="C111" s="68" t="s">
        <v>910</v>
      </c>
    </row>
    <row r="112" spans="1:7" x14ac:dyDescent="0.3">
      <c r="A112" s="68" t="s">
        <v>911</v>
      </c>
      <c r="B112" s="79">
        <v>1259904.05</v>
      </c>
      <c r="C112" s="68" t="s">
        <v>912</v>
      </c>
    </row>
    <row r="113" spans="1:3" x14ac:dyDescent="0.3">
      <c r="A113" s="68" t="s">
        <v>913</v>
      </c>
      <c r="B113" s="79">
        <v>1350532.52</v>
      </c>
      <c r="C113" s="68" t="s">
        <v>914</v>
      </c>
    </row>
    <row r="114" spans="1:3" x14ac:dyDescent="0.3">
      <c r="A114" s="68" t="s">
        <v>915</v>
      </c>
      <c r="B114" s="79">
        <v>1219130.53</v>
      </c>
      <c r="C114" s="68" t="s">
        <v>916</v>
      </c>
    </row>
    <row r="115" spans="1:3" x14ac:dyDescent="0.3">
      <c r="A115" s="68" t="s">
        <v>917</v>
      </c>
      <c r="B115" s="79">
        <v>1266003.31</v>
      </c>
      <c r="C115" s="68" t="s">
        <v>918</v>
      </c>
    </row>
    <row r="117" spans="1:3" x14ac:dyDescent="0.3">
      <c r="A117" s="68" t="s">
        <v>919</v>
      </c>
    </row>
    <row r="118" spans="1:3" x14ac:dyDescent="0.3">
      <c r="A118" s="68" t="s">
        <v>920</v>
      </c>
    </row>
    <row r="119" spans="1:3" x14ac:dyDescent="0.3">
      <c r="A119" s="68" t="s">
        <v>921</v>
      </c>
    </row>
    <row r="120" spans="1:3" x14ac:dyDescent="0.3">
      <c r="A120" s="68" t="s">
        <v>922</v>
      </c>
    </row>
    <row r="121" spans="1:3" x14ac:dyDescent="0.3">
      <c r="A121" s="68" t="s">
        <v>923</v>
      </c>
    </row>
    <row r="122" spans="1:3" x14ac:dyDescent="0.3">
      <c r="A122" s="68" t="s">
        <v>924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80DC0-6621-492C-AF20-3C4C433B789C}">
  <dimension ref="A1:H51"/>
  <sheetViews>
    <sheetView workbookViewId="0">
      <selection activeCell="J11" sqref="J11"/>
    </sheetView>
  </sheetViews>
  <sheetFormatPr baseColWidth="10" defaultRowHeight="14.4" x14ac:dyDescent="0.3"/>
  <cols>
    <col min="4" max="4" width="22.77734375" customWidth="1"/>
    <col min="5" max="5" width="17.77734375" customWidth="1"/>
    <col min="6" max="6" width="32.5546875" customWidth="1"/>
  </cols>
  <sheetData>
    <row r="1" spans="1:8" ht="15.6" x14ac:dyDescent="0.3">
      <c r="A1" s="6" t="s">
        <v>0</v>
      </c>
      <c r="B1" s="6" t="s">
        <v>1</v>
      </c>
      <c r="C1" s="6" t="s">
        <v>2</v>
      </c>
      <c r="D1" s="6" t="s">
        <v>238</v>
      </c>
      <c r="E1" s="6" t="s">
        <v>3</v>
      </c>
      <c r="F1" s="6" t="s">
        <v>4</v>
      </c>
      <c r="G1" s="6" t="s">
        <v>5</v>
      </c>
      <c r="H1" s="6" t="s">
        <v>6</v>
      </c>
    </row>
    <row r="2" spans="1:8" x14ac:dyDescent="0.3">
      <c r="A2" s="2">
        <v>46052</v>
      </c>
      <c r="B2" s="1" t="s">
        <v>55</v>
      </c>
      <c r="C2" s="1" t="s">
        <v>30</v>
      </c>
      <c r="D2" s="1" t="s">
        <v>23</v>
      </c>
      <c r="E2" s="1" t="s">
        <v>28</v>
      </c>
      <c r="F2" s="1" t="s">
        <v>56</v>
      </c>
      <c r="G2" s="5">
        <v>1156.01</v>
      </c>
      <c r="H2" s="3" t="s">
        <v>12</v>
      </c>
    </row>
    <row r="3" spans="1:8" x14ac:dyDescent="0.3">
      <c r="A3" s="2">
        <v>46049</v>
      </c>
      <c r="B3" s="1" t="s">
        <v>55</v>
      </c>
      <c r="C3" s="1" t="s">
        <v>8</v>
      </c>
      <c r="D3" s="1" t="s">
        <v>9</v>
      </c>
      <c r="E3" s="1" t="s">
        <v>10</v>
      </c>
      <c r="F3" s="1" t="s">
        <v>96</v>
      </c>
      <c r="G3" s="5">
        <v>3061.8</v>
      </c>
      <c r="H3" s="3" t="s">
        <v>12</v>
      </c>
    </row>
    <row r="4" spans="1:8" x14ac:dyDescent="0.3">
      <c r="A4" s="2">
        <v>46027</v>
      </c>
      <c r="B4" s="1" t="s">
        <v>55</v>
      </c>
      <c r="C4" s="1" t="s">
        <v>20</v>
      </c>
      <c r="D4" s="1" t="s">
        <v>9</v>
      </c>
      <c r="E4" s="1" t="s">
        <v>215</v>
      </c>
      <c r="F4" s="1" t="s">
        <v>216</v>
      </c>
      <c r="G4" s="5">
        <v>4280.3999999999996</v>
      </c>
      <c r="H4" s="3" t="s">
        <v>12</v>
      </c>
    </row>
    <row r="5" spans="1:8" ht="15" thickBot="1" x14ac:dyDescent="0.35">
      <c r="A5" s="94">
        <v>46025</v>
      </c>
      <c r="B5" s="95" t="s">
        <v>55</v>
      </c>
      <c r="C5" s="95" t="s">
        <v>30</v>
      </c>
      <c r="D5" s="95" t="s">
        <v>9</v>
      </c>
      <c r="E5" s="95" t="s">
        <v>10</v>
      </c>
      <c r="F5" s="95" t="s">
        <v>223</v>
      </c>
      <c r="G5" s="96">
        <v>589</v>
      </c>
      <c r="H5" s="97" t="s">
        <v>12</v>
      </c>
    </row>
    <row r="6" spans="1:8" x14ac:dyDescent="0.3">
      <c r="A6" s="98"/>
      <c r="B6" s="99"/>
      <c r="C6" s="99"/>
      <c r="D6" s="99"/>
      <c r="E6" s="99"/>
      <c r="F6" s="99"/>
      <c r="G6" s="101">
        <f>SUM(G2:G5)</f>
        <v>9087.2099999999991</v>
      </c>
      <c r="H6" s="100"/>
    </row>
    <row r="7" spans="1:8" x14ac:dyDescent="0.3">
      <c r="A7" s="90">
        <v>46080</v>
      </c>
      <c r="B7" s="91" t="s">
        <v>55</v>
      </c>
      <c r="C7" s="91" t="s">
        <v>30</v>
      </c>
      <c r="D7" s="91" t="s">
        <v>9</v>
      </c>
      <c r="E7" s="91" t="s">
        <v>28</v>
      </c>
      <c r="F7" s="91" t="s">
        <v>273</v>
      </c>
      <c r="G7" s="92">
        <v>4786</v>
      </c>
      <c r="H7" s="93" t="s">
        <v>12</v>
      </c>
    </row>
    <row r="8" spans="1:8" x14ac:dyDescent="0.3">
      <c r="A8" s="2">
        <v>46071</v>
      </c>
      <c r="B8" s="1" t="s">
        <v>55</v>
      </c>
      <c r="C8" s="1" t="s">
        <v>20</v>
      </c>
      <c r="D8" s="1" t="s">
        <v>9</v>
      </c>
      <c r="E8" s="1" t="s">
        <v>10</v>
      </c>
      <c r="F8" s="1" t="s">
        <v>337</v>
      </c>
      <c r="G8" s="5">
        <v>19440</v>
      </c>
      <c r="H8" s="3" t="s">
        <v>12</v>
      </c>
    </row>
    <row r="9" spans="1:8" x14ac:dyDescent="0.3">
      <c r="A9" s="2">
        <v>46058</v>
      </c>
      <c r="B9" s="1" t="s">
        <v>55</v>
      </c>
      <c r="C9" s="1" t="s">
        <v>20</v>
      </c>
      <c r="D9" s="1" t="s">
        <v>9</v>
      </c>
      <c r="E9" s="1" t="s">
        <v>28</v>
      </c>
      <c r="F9" s="1" t="s">
        <v>420</v>
      </c>
      <c r="G9" s="5">
        <v>6280.2</v>
      </c>
      <c r="H9" s="3" t="s">
        <v>12</v>
      </c>
    </row>
    <row r="10" spans="1:8" ht="15" thickBot="1" x14ac:dyDescent="0.35">
      <c r="A10" s="94">
        <v>46056</v>
      </c>
      <c r="B10" s="95" t="s">
        <v>55</v>
      </c>
      <c r="C10" s="95" t="s">
        <v>20</v>
      </c>
      <c r="D10" s="95" t="s">
        <v>9</v>
      </c>
      <c r="E10" s="95" t="s">
        <v>10</v>
      </c>
      <c r="F10" s="95" t="s">
        <v>436</v>
      </c>
      <c r="G10" s="96">
        <v>6609.68</v>
      </c>
      <c r="H10" s="97" t="s">
        <v>12</v>
      </c>
    </row>
    <row r="11" spans="1:8" x14ac:dyDescent="0.3">
      <c r="A11" s="98"/>
      <c r="B11" s="99"/>
      <c r="C11" s="99"/>
      <c r="D11" s="99"/>
      <c r="E11" s="99"/>
      <c r="F11" s="99"/>
      <c r="G11" s="101">
        <f>SUM(G7:G10)</f>
        <v>37115.880000000005</v>
      </c>
      <c r="H11" s="100"/>
    </row>
    <row r="12" spans="1:8" x14ac:dyDescent="0.3">
      <c r="A12" s="90">
        <v>46111</v>
      </c>
      <c r="B12" s="91" t="s">
        <v>55</v>
      </c>
      <c r="C12" s="91" t="s">
        <v>8</v>
      </c>
      <c r="D12" s="91" t="s">
        <v>9</v>
      </c>
      <c r="E12" s="91" t="s">
        <v>28</v>
      </c>
      <c r="F12" s="91" t="s">
        <v>460</v>
      </c>
      <c r="G12" s="92">
        <v>5757.95</v>
      </c>
      <c r="H12" s="93" t="s">
        <v>12</v>
      </c>
    </row>
    <row r="13" spans="1:8" x14ac:dyDescent="0.3">
      <c r="A13" s="2">
        <v>46108</v>
      </c>
      <c r="B13" s="1" t="s">
        <v>55</v>
      </c>
      <c r="C13" s="1" t="s">
        <v>20</v>
      </c>
      <c r="D13" s="1" t="s">
        <v>9</v>
      </c>
      <c r="E13" s="1" t="s">
        <v>28</v>
      </c>
      <c r="F13" s="1" t="s">
        <v>465</v>
      </c>
      <c r="G13" s="5">
        <v>8721</v>
      </c>
      <c r="H13" s="3" t="s">
        <v>12</v>
      </c>
    </row>
    <row r="14" spans="1:8" x14ac:dyDescent="0.3">
      <c r="A14" s="2">
        <v>46092</v>
      </c>
      <c r="B14" s="1" t="s">
        <v>625</v>
      </c>
      <c r="C14" s="1" t="s">
        <v>8</v>
      </c>
      <c r="D14" s="1" t="s">
        <v>9</v>
      </c>
      <c r="E14" s="1" t="s">
        <v>28</v>
      </c>
      <c r="F14" s="1" t="s">
        <v>542</v>
      </c>
      <c r="G14" s="5">
        <v>4394</v>
      </c>
      <c r="H14" s="3" t="s">
        <v>12</v>
      </c>
    </row>
    <row r="15" spans="1:8" ht="15" thickBot="1" x14ac:dyDescent="0.35">
      <c r="A15" s="94">
        <v>46090</v>
      </c>
      <c r="B15" s="95" t="s">
        <v>55</v>
      </c>
      <c r="C15" s="95" t="s">
        <v>8</v>
      </c>
      <c r="D15" s="95" t="s">
        <v>9</v>
      </c>
      <c r="E15" s="95" t="s">
        <v>10</v>
      </c>
      <c r="F15" s="95" t="s">
        <v>569</v>
      </c>
      <c r="G15" s="96">
        <v>3456</v>
      </c>
      <c r="H15" s="97" t="s">
        <v>12</v>
      </c>
    </row>
    <row r="16" spans="1:8" x14ac:dyDescent="0.3">
      <c r="A16" s="98"/>
      <c r="B16" s="99"/>
      <c r="C16" s="99"/>
      <c r="D16" s="99"/>
      <c r="E16" s="99"/>
      <c r="F16" s="99"/>
      <c r="G16" s="101">
        <f>SUM(G12:G15)</f>
        <v>22328.95</v>
      </c>
      <c r="H16" s="100"/>
    </row>
    <row r="17" spans="1:8" x14ac:dyDescent="0.3">
      <c r="A17" s="90">
        <v>46142</v>
      </c>
      <c r="B17" s="91" t="s">
        <v>55</v>
      </c>
      <c r="C17" s="91" t="s">
        <v>20</v>
      </c>
      <c r="D17" s="91" t="s">
        <v>9</v>
      </c>
      <c r="E17" s="91" t="s">
        <v>629</v>
      </c>
      <c r="F17" s="91" t="s">
        <v>630</v>
      </c>
      <c r="G17" s="92">
        <v>11538.19</v>
      </c>
      <c r="H17" s="93" t="s">
        <v>12</v>
      </c>
    </row>
    <row r="18" spans="1:8" x14ac:dyDescent="0.3">
      <c r="A18" s="2">
        <v>46135</v>
      </c>
      <c r="B18" s="1" t="s">
        <v>55</v>
      </c>
      <c r="C18" s="1" t="s">
        <v>8</v>
      </c>
      <c r="D18" s="1" t="s">
        <v>9</v>
      </c>
      <c r="E18" s="1" t="s">
        <v>10</v>
      </c>
      <c r="F18" s="1" t="s">
        <v>652</v>
      </c>
      <c r="G18" s="5">
        <v>500</v>
      </c>
      <c r="H18" s="3" t="s">
        <v>12</v>
      </c>
    </row>
    <row r="19" spans="1:8" x14ac:dyDescent="0.3">
      <c r="A19" s="2">
        <v>46134</v>
      </c>
      <c r="B19" s="1" t="s">
        <v>55</v>
      </c>
      <c r="C19" s="1" t="s">
        <v>8</v>
      </c>
      <c r="D19" s="1" t="s">
        <v>9</v>
      </c>
      <c r="E19" s="1" t="s">
        <v>10</v>
      </c>
      <c r="F19" s="1" t="s">
        <v>659</v>
      </c>
      <c r="G19" s="5">
        <v>86.9</v>
      </c>
      <c r="H19" s="3" t="s">
        <v>12</v>
      </c>
    </row>
    <row r="20" spans="1:8" x14ac:dyDescent="0.3">
      <c r="A20" s="2">
        <v>46134</v>
      </c>
      <c r="B20" s="1" t="s">
        <v>55</v>
      </c>
      <c r="C20" s="1" t="s">
        <v>8</v>
      </c>
      <c r="D20" s="1" t="s">
        <v>9</v>
      </c>
      <c r="E20" s="1" t="s">
        <v>10</v>
      </c>
      <c r="F20" s="1" t="s">
        <v>660</v>
      </c>
      <c r="G20" s="5">
        <v>235</v>
      </c>
      <c r="H20" s="3" t="s">
        <v>12</v>
      </c>
    </row>
    <row r="21" spans="1:8" x14ac:dyDescent="0.3">
      <c r="A21" s="2">
        <v>46133</v>
      </c>
      <c r="B21" s="1" t="s">
        <v>55</v>
      </c>
      <c r="C21" s="1" t="s">
        <v>8</v>
      </c>
      <c r="D21" s="1" t="s">
        <v>9</v>
      </c>
      <c r="E21" s="1" t="s">
        <v>10</v>
      </c>
      <c r="F21" s="1" t="s">
        <v>672</v>
      </c>
      <c r="G21" s="5">
        <v>210</v>
      </c>
      <c r="H21" s="3" t="s">
        <v>12</v>
      </c>
    </row>
    <row r="22" spans="1:8" x14ac:dyDescent="0.3">
      <c r="A22" s="2">
        <v>46133</v>
      </c>
      <c r="B22" s="1" t="s">
        <v>55</v>
      </c>
      <c r="C22" s="1" t="s">
        <v>8</v>
      </c>
      <c r="D22" s="1" t="s">
        <v>9</v>
      </c>
      <c r="E22" s="1" t="s">
        <v>10</v>
      </c>
      <c r="F22" s="1" t="s">
        <v>674</v>
      </c>
      <c r="G22" s="5">
        <v>210</v>
      </c>
      <c r="H22" s="3" t="s">
        <v>12</v>
      </c>
    </row>
    <row r="23" spans="1:8" x14ac:dyDescent="0.3">
      <c r="A23" s="2">
        <v>46132</v>
      </c>
      <c r="B23" s="1" t="s">
        <v>55</v>
      </c>
      <c r="C23" s="1" t="s">
        <v>8</v>
      </c>
      <c r="D23" s="1" t="s">
        <v>9</v>
      </c>
      <c r="E23" s="1" t="s">
        <v>10</v>
      </c>
      <c r="F23" s="1" t="s">
        <v>681</v>
      </c>
      <c r="G23" s="5">
        <v>604.04</v>
      </c>
      <c r="H23" s="3" t="s">
        <v>12</v>
      </c>
    </row>
    <row r="24" spans="1:8" x14ac:dyDescent="0.3">
      <c r="A24" s="2">
        <v>46129</v>
      </c>
      <c r="B24" s="1" t="s">
        <v>55</v>
      </c>
      <c r="C24" s="1" t="s">
        <v>20</v>
      </c>
      <c r="D24" s="1" t="s">
        <v>9</v>
      </c>
      <c r="E24" s="1" t="s">
        <v>10</v>
      </c>
      <c r="F24" s="1" t="s">
        <v>687</v>
      </c>
      <c r="G24" s="5">
        <v>2030</v>
      </c>
      <c r="H24" s="3" t="s">
        <v>12</v>
      </c>
    </row>
    <row r="25" spans="1:8" x14ac:dyDescent="0.3">
      <c r="A25" s="2">
        <v>46128</v>
      </c>
      <c r="B25" s="1" t="s">
        <v>55</v>
      </c>
      <c r="C25" s="1" t="s">
        <v>20</v>
      </c>
      <c r="D25" s="1" t="s">
        <v>9</v>
      </c>
      <c r="E25" s="1" t="s">
        <v>10</v>
      </c>
      <c r="F25" s="1" t="s">
        <v>689</v>
      </c>
      <c r="G25" s="5">
        <v>4524</v>
      </c>
      <c r="H25" s="3" t="s">
        <v>12</v>
      </c>
    </row>
    <row r="26" spans="1:8" x14ac:dyDescent="0.3">
      <c r="A26" s="2">
        <v>46127</v>
      </c>
      <c r="B26" s="1" t="s">
        <v>55</v>
      </c>
      <c r="C26" s="1" t="s">
        <v>8</v>
      </c>
      <c r="D26" s="1" t="s">
        <v>23</v>
      </c>
      <c r="E26" s="1" t="s">
        <v>10</v>
      </c>
      <c r="F26" s="1" t="s">
        <v>693</v>
      </c>
      <c r="G26" s="5">
        <v>1450</v>
      </c>
      <c r="H26" s="3" t="s">
        <v>12</v>
      </c>
    </row>
    <row r="27" spans="1:8" x14ac:dyDescent="0.3">
      <c r="A27" s="2">
        <v>46126</v>
      </c>
      <c r="B27" s="1" t="s">
        <v>55</v>
      </c>
      <c r="C27" s="1" t="s">
        <v>8</v>
      </c>
      <c r="D27" s="1" t="s">
        <v>9</v>
      </c>
      <c r="E27" s="1" t="s">
        <v>10</v>
      </c>
      <c r="F27" s="1" t="s">
        <v>699</v>
      </c>
      <c r="G27" s="5">
        <v>919.21</v>
      </c>
      <c r="H27" s="3" t="s">
        <v>12</v>
      </c>
    </row>
    <row r="28" spans="1:8" x14ac:dyDescent="0.3">
      <c r="A28" s="2">
        <v>46126</v>
      </c>
      <c r="B28" s="1" t="s">
        <v>55</v>
      </c>
      <c r="C28" s="1" t="s">
        <v>8</v>
      </c>
      <c r="D28" s="1" t="s">
        <v>9</v>
      </c>
      <c r="E28" s="1" t="s">
        <v>10</v>
      </c>
      <c r="F28" s="1" t="s">
        <v>700</v>
      </c>
      <c r="G28" s="5">
        <v>60</v>
      </c>
      <c r="H28" s="3" t="s">
        <v>12</v>
      </c>
    </row>
    <row r="29" spans="1:8" x14ac:dyDescent="0.3">
      <c r="A29" s="2">
        <v>46126</v>
      </c>
      <c r="B29" s="1" t="s">
        <v>55</v>
      </c>
      <c r="C29" s="1" t="s">
        <v>8</v>
      </c>
      <c r="D29" s="1" t="s">
        <v>9</v>
      </c>
      <c r="E29" s="1" t="s">
        <v>10</v>
      </c>
      <c r="F29" s="1" t="s">
        <v>704</v>
      </c>
      <c r="G29" s="5">
        <v>40</v>
      </c>
      <c r="H29" s="3" t="s">
        <v>12</v>
      </c>
    </row>
    <row r="30" spans="1:8" x14ac:dyDescent="0.3">
      <c r="A30" s="2">
        <v>46126</v>
      </c>
      <c r="B30" s="1" t="s">
        <v>55</v>
      </c>
      <c r="C30" s="1" t="s">
        <v>30</v>
      </c>
      <c r="D30" s="1" t="s">
        <v>9</v>
      </c>
      <c r="E30" s="1" t="s">
        <v>28</v>
      </c>
      <c r="F30" s="1" t="s">
        <v>706</v>
      </c>
      <c r="G30" s="5">
        <v>5100</v>
      </c>
      <c r="H30" s="3" t="s">
        <v>12</v>
      </c>
    </row>
    <row r="31" spans="1:8" x14ac:dyDescent="0.3">
      <c r="A31" s="2">
        <v>46125</v>
      </c>
      <c r="B31" s="1" t="s">
        <v>55</v>
      </c>
      <c r="C31" s="1" t="s">
        <v>8</v>
      </c>
      <c r="D31" s="1" t="s">
        <v>9</v>
      </c>
      <c r="E31" s="1" t="s">
        <v>10</v>
      </c>
      <c r="F31" s="1" t="s">
        <v>710</v>
      </c>
      <c r="G31" s="5">
        <v>2126</v>
      </c>
      <c r="H31" s="3" t="s">
        <v>12</v>
      </c>
    </row>
    <row r="32" spans="1:8" x14ac:dyDescent="0.3">
      <c r="A32" s="2">
        <v>46125</v>
      </c>
      <c r="B32" s="1" t="s">
        <v>55</v>
      </c>
      <c r="C32" s="1" t="s">
        <v>8</v>
      </c>
      <c r="D32" s="1" t="s">
        <v>9</v>
      </c>
      <c r="E32" s="1" t="s">
        <v>28</v>
      </c>
      <c r="F32" s="1" t="s">
        <v>713</v>
      </c>
      <c r="G32" s="5">
        <v>315.29000000000002</v>
      </c>
      <c r="H32" s="3" t="s">
        <v>12</v>
      </c>
    </row>
    <row r="33" spans="1:8" x14ac:dyDescent="0.3">
      <c r="A33" s="2">
        <v>46122</v>
      </c>
      <c r="B33" s="1" t="s">
        <v>55</v>
      </c>
      <c r="C33" s="1" t="s">
        <v>20</v>
      </c>
      <c r="D33" s="1" t="s">
        <v>9</v>
      </c>
      <c r="E33" s="1" t="s">
        <v>10</v>
      </c>
      <c r="F33" s="1" t="s">
        <v>719</v>
      </c>
      <c r="G33" s="5">
        <v>1200.01</v>
      </c>
      <c r="H33" s="3" t="s">
        <v>12</v>
      </c>
    </row>
    <row r="34" spans="1:8" x14ac:dyDescent="0.3">
      <c r="A34" s="2">
        <v>46122</v>
      </c>
      <c r="B34" s="1" t="s">
        <v>55</v>
      </c>
      <c r="C34" s="1" t="s">
        <v>102</v>
      </c>
      <c r="D34" s="1" t="s">
        <v>9</v>
      </c>
      <c r="E34" s="1" t="s">
        <v>10</v>
      </c>
      <c r="F34" s="1" t="s">
        <v>724</v>
      </c>
      <c r="G34" s="5">
        <v>599</v>
      </c>
      <c r="H34" s="3" t="s">
        <v>12</v>
      </c>
    </row>
    <row r="35" spans="1:8" x14ac:dyDescent="0.3">
      <c r="A35" s="2">
        <v>46121</v>
      </c>
      <c r="B35" s="1" t="s">
        <v>55</v>
      </c>
      <c r="C35" s="1" t="s">
        <v>8</v>
      </c>
      <c r="D35" s="1" t="s">
        <v>9</v>
      </c>
      <c r="E35" s="1" t="s">
        <v>10</v>
      </c>
      <c r="F35" s="1" t="s">
        <v>728</v>
      </c>
      <c r="G35" s="5">
        <v>1915.04</v>
      </c>
      <c r="H35" s="3" t="s">
        <v>12</v>
      </c>
    </row>
    <row r="36" spans="1:8" x14ac:dyDescent="0.3">
      <c r="A36" s="2">
        <v>46119</v>
      </c>
      <c r="B36" s="1" t="s">
        <v>55</v>
      </c>
      <c r="C36" s="1" t="s">
        <v>8</v>
      </c>
      <c r="D36" s="1" t="s">
        <v>9</v>
      </c>
      <c r="E36" s="1" t="s">
        <v>10</v>
      </c>
      <c r="F36" s="1" t="s">
        <v>741</v>
      </c>
      <c r="G36" s="5">
        <v>325</v>
      </c>
      <c r="H36" s="3" t="s">
        <v>12</v>
      </c>
    </row>
    <row r="37" spans="1:8" x14ac:dyDescent="0.3">
      <c r="A37" s="2">
        <v>46119</v>
      </c>
      <c r="B37" s="1" t="s">
        <v>55</v>
      </c>
      <c r="C37" s="1" t="s">
        <v>8</v>
      </c>
      <c r="D37" s="1" t="s">
        <v>9</v>
      </c>
      <c r="E37" s="1" t="s">
        <v>10</v>
      </c>
      <c r="F37" s="1" t="s">
        <v>742</v>
      </c>
      <c r="G37" s="5">
        <v>195</v>
      </c>
      <c r="H37" s="3" t="s">
        <v>12</v>
      </c>
    </row>
    <row r="38" spans="1:8" x14ac:dyDescent="0.3">
      <c r="A38" s="2">
        <v>46118</v>
      </c>
      <c r="B38" s="1" t="s">
        <v>55</v>
      </c>
      <c r="C38" s="1" t="s">
        <v>8</v>
      </c>
      <c r="D38" s="1" t="s">
        <v>9</v>
      </c>
      <c r="E38" s="1" t="s">
        <v>10</v>
      </c>
      <c r="F38" s="1" t="s">
        <v>749</v>
      </c>
      <c r="G38" s="5">
        <v>450</v>
      </c>
      <c r="H38" s="3" t="s">
        <v>12</v>
      </c>
    </row>
    <row r="39" spans="1:8" x14ac:dyDescent="0.3">
      <c r="A39" s="2">
        <v>46118</v>
      </c>
      <c r="B39" s="1" t="s">
        <v>55</v>
      </c>
      <c r="C39" s="1" t="s">
        <v>20</v>
      </c>
      <c r="D39" s="1" t="s">
        <v>9</v>
      </c>
      <c r="E39" s="1" t="s">
        <v>28</v>
      </c>
      <c r="F39" s="1" t="s">
        <v>754</v>
      </c>
      <c r="G39" s="5">
        <v>6804</v>
      </c>
      <c r="H39" s="3" t="s">
        <v>12</v>
      </c>
    </row>
    <row r="40" spans="1:8" x14ac:dyDescent="0.3">
      <c r="A40" s="2">
        <v>46118</v>
      </c>
      <c r="B40" s="1" t="s">
        <v>55</v>
      </c>
      <c r="C40" s="1" t="s">
        <v>8</v>
      </c>
      <c r="D40" s="1" t="s">
        <v>9</v>
      </c>
      <c r="E40" s="1" t="s">
        <v>10</v>
      </c>
      <c r="F40" s="1" t="s">
        <v>755</v>
      </c>
      <c r="G40" s="5">
        <v>676.15</v>
      </c>
      <c r="H40" s="3" t="s">
        <v>12</v>
      </c>
    </row>
    <row r="41" spans="1:8" x14ac:dyDescent="0.3">
      <c r="A41" s="2">
        <v>46118</v>
      </c>
      <c r="B41" s="1" t="s">
        <v>55</v>
      </c>
      <c r="C41" s="1" t="s">
        <v>8</v>
      </c>
      <c r="D41" s="1" t="s">
        <v>9</v>
      </c>
      <c r="E41" s="1" t="s">
        <v>28</v>
      </c>
      <c r="F41" s="1" t="s">
        <v>756</v>
      </c>
      <c r="G41" s="5">
        <v>8721</v>
      </c>
      <c r="H41" s="3" t="s">
        <v>12</v>
      </c>
    </row>
    <row r="42" spans="1:8" x14ac:dyDescent="0.3">
      <c r="A42" s="2">
        <v>46113</v>
      </c>
      <c r="B42" s="1" t="s">
        <v>55</v>
      </c>
      <c r="C42" s="1" t="s">
        <v>20</v>
      </c>
      <c r="D42" s="1" t="s">
        <v>9</v>
      </c>
      <c r="E42" s="1" t="s">
        <v>28</v>
      </c>
      <c r="F42" s="1" t="s">
        <v>766</v>
      </c>
      <c r="G42" s="5">
        <v>2059</v>
      </c>
      <c r="H42" s="3" t="s">
        <v>12</v>
      </c>
    </row>
    <row r="43" spans="1:8" x14ac:dyDescent="0.3">
      <c r="A43" s="2">
        <v>46113</v>
      </c>
      <c r="B43" s="1" t="s">
        <v>55</v>
      </c>
      <c r="C43" s="1" t="s">
        <v>20</v>
      </c>
      <c r="D43" s="1" t="s">
        <v>9</v>
      </c>
      <c r="E43" s="1" t="s">
        <v>10</v>
      </c>
      <c r="F43" s="1" t="s">
        <v>767</v>
      </c>
      <c r="G43" s="5">
        <v>2059</v>
      </c>
      <c r="H43" s="3" t="s">
        <v>12</v>
      </c>
    </row>
    <row r="44" spans="1:8" x14ac:dyDescent="0.3">
      <c r="G44" s="101">
        <f>SUM(G17:G43)</f>
        <v>54951.83</v>
      </c>
    </row>
    <row r="45" spans="1:8" x14ac:dyDescent="0.3">
      <c r="A45" s="73">
        <v>46171</v>
      </c>
      <c r="B45" s="1" t="s">
        <v>55</v>
      </c>
      <c r="C45" s="1" t="s">
        <v>20</v>
      </c>
      <c r="D45" s="1" t="s">
        <v>9</v>
      </c>
      <c r="E45" s="1" t="s">
        <v>215</v>
      </c>
      <c r="F45" s="1" t="s">
        <v>791</v>
      </c>
      <c r="G45" s="5">
        <v>3240</v>
      </c>
      <c r="H45" s="3" t="s">
        <v>12</v>
      </c>
    </row>
    <row r="46" spans="1:8" x14ac:dyDescent="0.3">
      <c r="A46" s="73">
        <v>46162</v>
      </c>
      <c r="B46" s="1" t="s">
        <v>55</v>
      </c>
      <c r="C46" s="1" t="s">
        <v>8</v>
      </c>
      <c r="D46" s="1" t="s">
        <v>9</v>
      </c>
      <c r="E46" s="1" t="s">
        <v>10</v>
      </c>
      <c r="F46" s="1" t="s">
        <v>824</v>
      </c>
      <c r="G46" s="5">
        <v>5668.5</v>
      </c>
      <c r="H46" s="3" t="s">
        <v>12</v>
      </c>
    </row>
    <row r="47" spans="1:8" x14ac:dyDescent="0.3">
      <c r="A47" s="73">
        <v>46160</v>
      </c>
      <c r="B47" s="1" t="s">
        <v>55</v>
      </c>
      <c r="C47" s="1" t="s">
        <v>8</v>
      </c>
      <c r="D47" s="1" t="s">
        <v>9</v>
      </c>
      <c r="E47" s="1" t="s">
        <v>28</v>
      </c>
      <c r="F47" s="1" t="s">
        <v>836</v>
      </c>
      <c r="G47" s="5">
        <v>12895.25</v>
      </c>
      <c r="H47" s="3" t="s">
        <v>12</v>
      </c>
    </row>
    <row r="48" spans="1:8" x14ac:dyDescent="0.3">
      <c r="A48" s="73">
        <v>46156</v>
      </c>
      <c r="B48" s="1" t="s">
        <v>55</v>
      </c>
      <c r="C48" s="1" t="s">
        <v>8</v>
      </c>
      <c r="D48" s="1" t="s">
        <v>9</v>
      </c>
      <c r="E48" s="1" t="s">
        <v>10</v>
      </c>
      <c r="F48" s="1" t="s">
        <v>850</v>
      </c>
      <c r="G48" s="5">
        <v>1275.74</v>
      </c>
      <c r="H48" s="3" t="s">
        <v>12</v>
      </c>
    </row>
    <row r="49" spans="1:8" x14ac:dyDescent="0.3">
      <c r="A49" s="73">
        <v>46155</v>
      </c>
      <c r="B49" s="1" t="s">
        <v>55</v>
      </c>
      <c r="C49" s="1" t="s">
        <v>8</v>
      </c>
      <c r="D49" s="1" t="s">
        <v>9</v>
      </c>
      <c r="E49" s="1" t="s">
        <v>10</v>
      </c>
      <c r="F49" s="1" t="s">
        <v>855</v>
      </c>
      <c r="G49" s="5">
        <v>1126.48</v>
      </c>
      <c r="H49" s="3" t="s">
        <v>12</v>
      </c>
    </row>
    <row r="50" spans="1:8" x14ac:dyDescent="0.3">
      <c r="A50" s="73">
        <v>46147</v>
      </c>
      <c r="B50" s="1" t="s">
        <v>55</v>
      </c>
      <c r="C50" s="1" t="s">
        <v>8</v>
      </c>
      <c r="D50" s="1" t="s">
        <v>9</v>
      </c>
      <c r="E50" s="1" t="s">
        <v>10</v>
      </c>
      <c r="F50" s="1" t="s">
        <v>875</v>
      </c>
      <c r="G50" s="5">
        <v>25000</v>
      </c>
      <c r="H50" s="3" t="s">
        <v>12</v>
      </c>
    </row>
    <row r="51" spans="1:8" x14ac:dyDescent="0.3">
      <c r="G51" s="101">
        <f>SUM(G45:G50)</f>
        <v>49205.97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RESUMEN</vt:lpstr>
      <vt:lpstr>GASTOS TIENDA 2026</vt:lpstr>
      <vt:lpstr>ENERO</vt:lpstr>
      <vt:lpstr>FEBRERO</vt:lpstr>
      <vt:lpstr>MARZO</vt:lpstr>
      <vt:lpstr>ABRIL</vt:lpstr>
      <vt:lpstr>MAYO</vt:lpstr>
      <vt:lpstr>JUNIO</vt:lpstr>
      <vt:lpstr>JULIO</vt:lpstr>
      <vt:lpstr>GRAFICA</vt:lpstr>
      <vt:lpstr>MARKETING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Zaira Palomino</dc:creator>
  <cp:lastModifiedBy>Zaira Palomino</cp:lastModifiedBy>
  <dcterms:created xsi:type="dcterms:W3CDTF">2026-02-05T19:00:04Z</dcterms:created>
  <dcterms:modified xsi:type="dcterms:W3CDTF">2026-08-17T16:41:45Z</dcterms:modified>
</cp:coreProperties>
</file>