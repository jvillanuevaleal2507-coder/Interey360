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cc7756de92edc38/Desktop/Zaira Palomino/PROYECTOS TERMINADOS 2026/"/>
    </mc:Choice>
  </mc:AlternateContent>
  <xr:revisionPtr revIDLastSave="3" documentId="8_{5EBE62F3-0115-4A3A-9340-47465BC04568}" xr6:coauthVersionLast="47" xr6:coauthVersionMax="47" xr10:uidLastSave="{2D27B660-7229-4EAC-9F4B-3FAC189A594B}"/>
  <bookViews>
    <workbookView xWindow="-108" yWindow="-108" windowWidth="23256" windowHeight="12456" tabRatio="781" xr2:uid="{00000000-000D-0000-FFFF-FFFF00000000}"/>
  </bookViews>
  <sheets>
    <sheet name="RESUMEN 2026 " sheetId="21" r:id="rId1"/>
    <sheet name="VENTAS POR ASESOR" sheetId="18" r:id="rId2"/>
    <sheet name="ENERO " sheetId="1" r:id="rId3"/>
    <sheet name="FEBRERO" sheetId="12" r:id="rId4"/>
    <sheet name="MARZO" sheetId="9" r:id="rId5"/>
    <sheet name="ABRIL" sheetId="13" r:id="rId6"/>
    <sheet name="MAYO" sheetId="16" r:id="rId7"/>
  </sheets>
  <definedNames>
    <definedName name="_xlnm._FilterDatabase" localSheetId="5" hidden="1">ABRIL!$A$1:$W$46</definedName>
    <definedName name="_xlnm._FilterDatabase" localSheetId="2" hidden="1">'ENERO '!$A$1:$W$38</definedName>
    <definedName name="_xlnm._FilterDatabase" localSheetId="3" hidden="1">FEBRERO!$A$1:$W$48</definedName>
    <definedName name="_xlnm._FilterDatabase" localSheetId="4" hidden="1">MARZO!$A$1:$W$53</definedName>
    <definedName name="_xlnm._FilterDatabase" localSheetId="6" hidden="1">MAYO!$A$1:$X$31</definedName>
    <definedName name="_xlnm._FilterDatabase" localSheetId="1" hidden="1">'VENTAS POR ASESOR'!$H$2:$N$39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1" l="1"/>
  <c r="L28" i="21"/>
  <c r="J28" i="21"/>
  <c r="I28" i="21"/>
  <c r="H28" i="21"/>
  <c r="F28" i="21"/>
  <c r="C28" i="21"/>
  <c r="E28" i="21"/>
  <c r="D28" i="21"/>
  <c r="M16" i="21"/>
  <c r="M17" i="21"/>
  <c r="M18" i="21"/>
  <c r="M19" i="21"/>
  <c r="M20" i="21"/>
  <c r="M21" i="21"/>
  <c r="M22" i="21"/>
  <c r="M23" i="21"/>
  <c r="M24" i="21"/>
  <c r="M25" i="21"/>
  <c r="M26" i="21"/>
  <c r="M15" i="21"/>
  <c r="L15" i="21"/>
  <c r="J27" i="21"/>
  <c r="J16" i="21"/>
  <c r="J17" i="21"/>
  <c r="J18" i="21"/>
  <c r="J19" i="21"/>
  <c r="J20" i="21"/>
  <c r="J21" i="21"/>
  <c r="J22" i="21"/>
  <c r="J23" i="21"/>
  <c r="J24" i="21"/>
  <c r="J25" i="21"/>
  <c r="J26" i="21"/>
  <c r="J15" i="21"/>
  <c r="K20" i="21"/>
  <c r="K21" i="21"/>
  <c r="K22" i="21"/>
  <c r="K23" i="21"/>
  <c r="K24" i="21"/>
  <c r="K25" i="21"/>
  <c r="K26" i="21"/>
  <c r="K15" i="21"/>
  <c r="D20" i="21"/>
  <c r="F20" i="21" s="1"/>
  <c r="D21" i="21"/>
  <c r="F21" i="21" s="1"/>
  <c r="D22" i="21"/>
  <c r="L22" i="21" s="1"/>
  <c r="D23" i="21"/>
  <c r="L23" i="21" s="1"/>
  <c r="D24" i="21"/>
  <c r="F24" i="21" s="1"/>
  <c r="D25" i="21"/>
  <c r="L25" i="21" s="1"/>
  <c r="D26" i="21"/>
  <c r="L26" i="21" s="1"/>
  <c r="D15" i="21"/>
  <c r="I27" i="21"/>
  <c r="H27" i="21"/>
  <c r="C27" i="21"/>
  <c r="F26" i="21"/>
  <c r="F23" i="21"/>
  <c r="F22" i="21"/>
  <c r="E19" i="21"/>
  <c r="E18" i="21"/>
  <c r="G18" i="21"/>
  <c r="E17" i="21"/>
  <c r="G17" i="21"/>
  <c r="E16" i="21"/>
  <c r="G16" i="21"/>
  <c r="E15" i="21"/>
  <c r="G15" i="21"/>
  <c r="N10" i="21"/>
  <c r="M8" i="21"/>
  <c r="M11" i="21" s="1"/>
  <c r="L8" i="21"/>
  <c r="L11" i="21" s="1"/>
  <c r="K8" i="21"/>
  <c r="K11" i="21" s="1"/>
  <c r="J8" i="21"/>
  <c r="J11" i="21" s="1"/>
  <c r="I8" i="21"/>
  <c r="I11" i="21" s="1"/>
  <c r="H8" i="21"/>
  <c r="H11" i="21" s="1"/>
  <c r="G8" i="21"/>
  <c r="G11" i="21" s="1"/>
  <c r="F8" i="21"/>
  <c r="F11" i="21" s="1"/>
  <c r="E8" i="21"/>
  <c r="B18" i="21" s="1"/>
  <c r="K18" i="21" s="1"/>
  <c r="D8" i="21"/>
  <c r="B17" i="21" s="1"/>
  <c r="K17" i="21" s="1"/>
  <c r="C8" i="21"/>
  <c r="C11" i="21" s="1"/>
  <c r="B8" i="21"/>
  <c r="B15" i="21" s="1"/>
  <c r="N7" i="21"/>
  <c r="N6" i="21"/>
  <c r="N5" i="21"/>
  <c r="N4" i="21"/>
  <c r="N3" i="21"/>
  <c r="N2" i="21"/>
  <c r="G54" i="9"/>
  <c r="O18" i="9"/>
  <c r="O17" i="9"/>
  <c r="L17" i="9"/>
  <c r="C30" i="18"/>
  <c r="B30" i="18"/>
  <c r="D25" i="18"/>
  <c r="I42" i="9"/>
  <c r="I39" i="9"/>
  <c r="I33" i="9"/>
  <c r="I26" i="9"/>
  <c r="I25" i="9"/>
  <c r="I20" i="9"/>
  <c r="D17" i="21" l="1"/>
  <c r="L17" i="21" s="1"/>
  <c r="B19" i="21"/>
  <c r="L24" i="21"/>
  <c r="D18" i="21"/>
  <c r="L18" i="21" s="1"/>
  <c r="L21" i="21"/>
  <c r="L20" i="21"/>
  <c r="F25" i="21"/>
  <c r="N8" i="21"/>
  <c r="N11" i="21" s="1"/>
  <c r="E27" i="21"/>
  <c r="G27" i="21"/>
  <c r="B16" i="21"/>
  <c r="B11" i="21"/>
  <c r="D11" i="21"/>
  <c r="E11" i="21"/>
  <c r="D15" i="18"/>
  <c r="G39" i="1"/>
  <c r="K16" i="21" l="1"/>
  <c r="D16" i="21"/>
  <c r="L16" i="21" s="1"/>
  <c r="B27" i="21"/>
  <c r="D19" i="21"/>
  <c r="K19" i="21"/>
  <c r="F17" i="21"/>
  <c r="F15" i="21"/>
  <c r="D27" i="21"/>
  <c r="F18" i="21"/>
  <c r="I32" i="1"/>
  <c r="G56" i="9"/>
  <c r="L19" i="21" l="1"/>
  <c r="F19" i="21"/>
  <c r="K27" i="21"/>
  <c r="F16" i="21"/>
  <c r="M27" i="21"/>
  <c r="L27" i="21"/>
  <c r="F27" i="21"/>
  <c r="N28" i="18" l="1"/>
  <c r="J41" i="18"/>
  <c r="K41" i="18"/>
  <c r="L41" i="18"/>
  <c r="M41" i="18"/>
  <c r="I41" i="18"/>
  <c r="N4" i="18"/>
  <c r="N5" i="18"/>
  <c r="N6" i="18"/>
  <c r="N7" i="18"/>
  <c r="N8" i="18"/>
  <c r="N9" i="18"/>
  <c r="N10" i="18"/>
  <c r="N11" i="18"/>
  <c r="N12" i="18"/>
  <c r="N14" i="18"/>
  <c r="N15" i="18"/>
  <c r="N16" i="18"/>
  <c r="N18" i="18"/>
  <c r="N19" i="18"/>
  <c r="N20" i="18"/>
  <c r="N17" i="18"/>
  <c r="N22" i="18"/>
  <c r="N13" i="18"/>
  <c r="N23" i="18"/>
  <c r="N25" i="18"/>
  <c r="N27" i="18"/>
  <c r="N26" i="18"/>
  <c r="N29" i="18"/>
  <c r="N30" i="18"/>
  <c r="N31" i="18"/>
  <c r="N24" i="18"/>
  <c r="N32" i="18"/>
  <c r="N33" i="18"/>
  <c r="N34" i="18"/>
  <c r="N35" i="18"/>
  <c r="N36" i="18"/>
  <c r="N37" i="18"/>
  <c r="N38" i="18"/>
  <c r="N39" i="18"/>
  <c r="N40" i="18"/>
  <c r="N21" i="18"/>
  <c r="N3" i="18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" i="16"/>
  <c r="O3" i="13"/>
  <c r="O47" i="13" s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2" i="13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2" i="9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2" i="12"/>
  <c r="N42" i="1"/>
  <c r="O3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2" i="1"/>
  <c r="N39" i="1"/>
  <c r="J28" i="16"/>
  <c r="D46" i="18" s="1"/>
  <c r="D36" i="18"/>
  <c r="E36" i="18" s="1"/>
  <c r="I46" i="13"/>
  <c r="D28" i="18"/>
  <c r="E28" i="18" s="1"/>
  <c r="D26" i="18"/>
  <c r="E25" i="18"/>
  <c r="G57" i="9"/>
  <c r="E15" i="18"/>
  <c r="D16" i="18"/>
  <c r="E16" i="18" s="1"/>
  <c r="I39" i="12"/>
  <c r="I30" i="12"/>
  <c r="I24" i="12"/>
  <c r="I12" i="12"/>
  <c r="I8" i="12"/>
  <c r="I34" i="1"/>
  <c r="I39" i="1" s="1"/>
  <c r="D5" i="18" s="1"/>
  <c r="C52" i="18"/>
  <c r="B52" i="18"/>
  <c r="E51" i="18"/>
  <c r="D51" i="18"/>
  <c r="D50" i="18"/>
  <c r="E50" i="18" s="1"/>
  <c r="D49" i="18"/>
  <c r="E49" i="18" s="1"/>
  <c r="D48" i="18"/>
  <c r="E48" i="18" s="1"/>
  <c r="E47" i="18"/>
  <c r="D47" i="18"/>
  <c r="C41" i="18"/>
  <c r="B41" i="18"/>
  <c r="D40" i="18"/>
  <c r="E40" i="18" s="1"/>
  <c r="D39" i="18"/>
  <c r="E39" i="18" s="1"/>
  <c r="D38" i="18"/>
  <c r="E38" i="18" s="1"/>
  <c r="D37" i="18"/>
  <c r="E37" i="18" s="1"/>
  <c r="D35" i="18"/>
  <c r="E35" i="18" s="1"/>
  <c r="D29" i="18"/>
  <c r="E29" i="18" s="1"/>
  <c r="D27" i="18"/>
  <c r="E27" i="18" s="1"/>
  <c r="D19" i="18"/>
  <c r="E19" i="18" s="1"/>
  <c r="E18" i="18"/>
  <c r="D18" i="18"/>
  <c r="D17" i="18"/>
  <c r="E17" i="18" s="1"/>
  <c r="K14" i="18"/>
  <c r="D9" i="18"/>
  <c r="E9" i="18" s="1"/>
  <c r="D8" i="18"/>
  <c r="E8" i="18" s="1"/>
  <c r="D7" i="18"/>
  <c r="E7" i="18" s="1"/>
  <c r="D6" i="18"/>
  <c r="E6" i="18" s="1"/>
  <c r="L4" i="18"/>
  <c r="K4" i="18"/>
  <c r="E26" i="18" l="1"/>
  <c r="D30" i="18"/>
  <c r="D54" i="18" s="1"/>
  <c r="O43" i="9"/>
  <c r="O40" i="12"/>
  <c r="O37" i="1"/>
  <c r="N41" i="18"/>
  <c r="J33" i="16"/>
  <c r="O29" i="16"/>
  <c r="E46" i="18"/>
  <c r="D52" i="18"/>
  <c r="D41" i="18"/>
  <c r="D10" i="18"/>
  <c r="E5" i="18"/>
  <c r="D20" i="18"/>
  <c r="D55" i="18" l="1"/>
  <c r="N30" i="16" l="1"/>
  <c r="N31" i="16" s="1"/>
  <c r="H69" i="13"/>
  <c r="N47" i="13"/>
  <c r="G29" i="16"/>
  <c r="N46" i="9" l="1"/>
  <c r="N43" i="12"/>
  <c r="N40" i="12"/>
  <c r="H70" i="13"/>
  <c r="E54" i="13"/>
  <c r="E50" i="9"/>
  <c r="D50" i="9"/>
  <c r="P47" i="13"/>
  <c r="L27" i="13"/>
  <c r="L3" i="13"/>
  <c r="L4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8" i="13"/>
  <c r="L29" i="13"/>
  <c r="L30" i="13"/>
  <c r="L31" i="13"/>
  <c r="L32" i="13"/>
  <c r="L33" i="13"/>
  <c r="L34" i="13"/>
  <c r="L35" i="13"/>
  <c r="L36" i="13"/>
  <c r="L37" i="13"/>
  <c r="L39" i="13"/>
  <c r="L40" i="13"/>
  <c r="L41" i="13"/>
  <c r="L42" i="13"/>
  <c r="L43" i="13"/>
  <c r="L44" i="13"/>
  <c r="L45" i="13"/>
  <c r="L46" i="13"/>
  <c r="L2" i="13"/>
  <c r="L3" i="9"/>
  <c r="D54" i="13"/>
  <c r="G47" i="13"/>
  <c r="E45" i="12"/>
  <c r="D45" i="12"/>
  <c r="P40" i="12"/>
  <c r="L39" i="12"/>
  <c r="L38" i="12"/>
  <c r="L37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R42" i="1"/>
  <c r="R39" i="1"/>
  <c r="R41" i="1" s="1"/>
  <c r="R43" i="1" s="1"/>
  <c r="U42" i="1"/>
  <c r="U40" i="1"/>
  <c r="U41" i="1" s="1"/>
  <c r="U43" i="1" s="1"/>
  <c r="D42" i="1"/>
  <c r="P44" i="9"/>
  <c r="L41" i="9"/>
  <c r="L31" i="9"/>
  <c r="L4" i="9"/>
  <c r="L5" i="9"/>
  <c r="L6" i="9"/>
  <c r="L7" i="9"/>
  <c r="L8" i="9"/>
  <c r="L9" i="9"/>
  <c r="L11" i="9"/>
  <c r="L12" i="9"/>
  <c r="L13" i="9"/>
  <c r="L14" i="9"/>
  <c r="L15" i="9"/>
  <c r="L16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2" i="9"/>
  <c r="L33" i="9"/>
  <c r="L34" i="9"/>
  <c r="L35" i="9"/>
  <c r="L36" i="9"/>
  <c r="L37" i="9"/>
  <c r="L38" i="9"/>
  <c r="L39" i="9"/>
  <c r="L40" i="9"/>
  <c r="L42" i="9"/>
  <c r="L2" i="9"/>
  <c r="L47" i="13" l="1"/>
  <c r="D51" i="9"/>
  <c r="D53" i="9" s="1"/>
  <c r="D55" i="13"/>
  <c r="D57" i="13" s="1"/>
  <c r="L44" i="9"/>
  <c r="N45" i="1"/>
  <c r="N44" i="1" s="1"/>
  <c r="L40" i="12"/>
  <c r="D46" i="12"/>
  <c r="D48" i="12" s="1"/>
  <c r="E42" i="1" l="1"/>
  <c r="D43" i="1" s="1"/>
  <c r="P37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2" i="1"/>
  <c r="L37" i="1" l="1"/>
  <c r="D45" i="1"/>
  <c r="W39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2" i="1"/>
  <c r="W23" i="1"/>
  <c r="W24" i="1"/>
  <c r="W25" i="1"/>
  <c r="W27" i="1"/>
  <c r="W28" i="1"/>
  <c r="W29" i="1"/>
  <c r="W30" i="1"/>
  <c r="W31" i="1"/>
  <c r="W32" i="1"/>
  <c r="W33" i="1"/>
  <c r="W34" i="1"/>
  <c r="W35" i="1"/>
  <c r="W36" i="1"/>
  <c r="W2" i="1"/>
</calcChain>
</file>

<file path=xl/sharedStrings.xml><?xml version="1.0" encoding="utf-8"?>
<sst xmlns="http://schemas.openxmlformats.org/spreadsheetml/2006/main" count="1275" uniqueCount="430">
  <si>
    <t>Id</t>
  </si>
  <si>
    <t>Promotor</t>
  </si>
  <si>
    <t>Cliente</t>
  </si>
  <si>
    <t>Fecha</t>
  </si>
  <si>
    <t>Descripcion</t>
  </si>
  <si>
    <t>Moneda</t>
  </si>
  <si>
    <t>Cotizado cliente</t>
  </si>
  <si>
    <t>Indirecto presupuestado</t>
  </si>
  <si>
    <t>Indirecto Real</t>
  </si>
  <si>
    <t>Mano obra real</t>
  </si>
  <si>
    <t>Material real</t>
  </si>
  <si>
    <t>Material utilidad</t>
  </si>
  <si>
    <t>Mano obra utilidad</t>
  </si>
  <si>
    <t>Utilidad</t>
  </si>
  <si>
    <t>Utilidad después de indirectos</t>
  </si>
  <si>
    <t>% Utilidad antes de indirectos</t>
  </si>
  <si>
    <t>$ Utilidad a comision</t>
  </si>
  <si>
    <t>% Utilidad a comision</t>
  </si>
  <si>
    <t>CELESTE LANDA</t>
  </si>
  <si>
    <t>E&amp;M INDUSTRIAL SUPPLIES</t>
  </si>
  <si>
    <t>SOPORTE SITEMA DE ALARMAS</t>
  </si>
  <si>
    <t>MXN</t>
  </si>
  <si>
    <t>61.39 %</t>
  </si>
  <si>
    <t>37.69 %</t>
  </si>
  <si>
    <t>RAMIRO LEE</t>
  </si>
  <si>
    <t>BSN MEDICAL</t>
  </si>
  <si>
    <t>P#12856 - OC #228434 - Servicio de adecuación - Pin 2435.</t>
  </si>
  <si>
    <t>83.03 %</t>
  </si>
  <si>
    <t>55.91 %</t>
  </si>
  <si>
    <t>BORGWARNER REYNOSA</t>
  </si>
  <si>
    <t>RFQ-S-1101: Instalación de nodo de red para CAT</t>
  </si>
  <si>
    <t>77.19 %</t>
  </si>
  <si>
    <t>59.67 %</t>
  </si>
  <si>
    <t>HECTOR VELA</t>
  </si>
  <si>
    <t>AUTOFLETES GOMEZ LEAL</t>
  </si>
  <si>
    <t>MANTENIMIENTO DE CCTV PREVENTIVO PATIO DE CONTENEDORES (ADECUACION PARA CABLEADO DE CAMARA DE LA ESQUINA) (Actualizado mano de obra)</t>
  </si>
  <si>
    <t>75.07 %</t>
  </si>
  <si>
    <t>49.46 %</t>
  </si>
  <si>
    <t>HOFFMAN SCHROFF MANUFACTURING</t>
  </si>
  <si>
    <t>VENTA DE MOCHILA SWISSGEAR 5358 LAPTOP BACKPACK / VENTILADOR Y SOPORTE PARA LAPTOP LUZ LED 9" A 17" (actualizado)</t>
  </si>
  <si>
    <t>41.75 %</t>
  </si>
  <si>
    <t>28.52 %</t>
  </si>
  <si>
    <t>JOSE LEOPOLDO GARCIA GRACIA</t>
  </si>
  <si>
    <t>508K1 OXXO TRAREYSA</t>
  </si>
  <si>
    <t>($ -806.10)</t>
  </si>
  <si>
    <t>85.81 %</t>
  </si>
  <si>
    <t>73.67 %</t>
  </si>
  <si>
    <t>SMP FOUR SEASONS DE MEXICO</t>
  </si>
  <si>
    <t>P#12803 - OC#56263 - MVR Cotizar Minicom Jack - Pin 9333.</t>
  </si>
  <si>
    <t>15.01 %</t>
  </si>
  <si>
    <t>ALFREDO PALOMINO</t>
  </si>
  <si>
    <t>ALCOM ELECTRONICOS DE MEXICO</t>
  </si>
  <si>
    <t>Renta de Escalera Eléctrica Por Mes ENERO 2026</t>
  </si>
  <si>
    <t>0.00 %</t>
  </si>
  <si>
    <t>VENTA DE MOCHILA SWISSGEAR 5358 LAPTOP BACKPACK / VENTILADOR Y SOPORTE PARA LAPTOP LUZ LED 9" A 17"</t>
  </si>
  <si>
    <t>41.96 %</t>
  </si>
  <si>
    <t>24.53 %</t>
  </si>
  <si>
    <t>Cotización Diademas Plantronics C3225</t>
  </si>
  <si>
    <t>23.42 %</t>
  </si>
  <si>
    <t>CORNING OPTICAL COMMUNICATIONS</t>
  </si>
  <si>
    <t>P#12784 - PO #4501987295 #RFQReq 211514 - Pin  5086.</t>
  </si>
  <si>
    <t>25.39 %</t>
  </si>
  <si>
    <t>RFQ-S-1086: Instalación de nodo</t>
  </si>
  <si>
    <t>70.28 %</t>
  </si>
  <si>
    <t>53.35 %</t>
  </si>
  <si>
    <t>P#12781 - PO 4501987914 - #RFQReq 211530 - PLANTA RCS - TIARA YANETH GUEVARA - PIN 5009.</t>
  </si>
  <si>
    <t>36.50 %</t>
  </si>
  <si>
    <t>IMPRESORA DONNECO INTERNACIONAL</t>
  </si>
  <si>
    <t>INSTALACION DE 11 CAMARAS EN EL AREA DE LONGFORT Y AREA GAVETAS (PLANTA 1)</t>
  </si>
  <si>
    <t>52.60 %</t>
  </si>
  <si>
    <t>37.07 %</t>
  </si>
  <si>
    <t>VENTA DE PROYECTO DE LA MARCA BENQ MX560C XGA 4000 (Actualizado)</t>
  </si>
  <si>
    <t>41.49 %</t>
  </si>
  <si>
    <t>28.95 %</t>
  </si>
  <si>
    <t>ORLANDO MARTINEZ</t>
  </si>
  <si>
    <t>Renta de Plataforma x 1 Dia Modelo 1012</t>
  </si>
  <si>
    <t>($ -874.00)</t>
  </si>
  <si>
    <t>(-22.41 %)</t>
  </si>
  <si>
    <t>AUTOMOTIVE MAQUILADORA</t>
  </si>
  <si>
    <t>PV#12756 - OC#  - RIBBON - PIN 2180 -ALEXANDRA BRINGAS</t>
  </si>
  <si>
    <t>41.52 %</t>
  </si>
  <si>
    <t>CEBAL AMERICAS DE REYNOSA</t>
  </si>
  <si>
    <t>INSTALACION DE 3 NODOS DE RED (AREA DE CNC ROOM)</t>
  </si>
  <si>
    <t>49.80 %</t>
  </si>
  <si>
    <t>35.63 %</t>
  </si>
  <si>
    <t>VENTA DE EQUIPOS (BACKPACK MOCHILA SWISSGEAR / BASE ENFRIADORA FROST EF740)</t>
  </si>
  <si>
    <t>51.92 %</t>
  </si>
  <si>
    <t>38.10 %</t>
  </si>
  <si>
    <t>VENTA DE MONTAJE DE PARED UNIVERSAL GIRATORIO / PARA MONITORES DE 75" A 110" CAPACIDAD DE 90 KGS</t>
  </si>
  <si>
    <t>43.17 %</t>
  </si>
  <si>
    <t>18.39 %</t>
  </si>
  <si>
    <t>WOODCRAFTERS HOME PRODUCTS</t>
  </si>
  <si>
    <t>M1225-22 | SUPRESOR PARA IMPRESORAS ZT411</t>
  </si>
  <si>
    <t>35.19 %</t>
  </si>
  <si>
    <t>19.31 %</t>
  </si>
  <si>
    <t>VENTA DE MATERIAL PARA LAPTOP / MOCHILA SWISSGEAR 5358/ BASE ENFRIADORA PARA LAPTOP_2</t>
  </si>
  <si>
    <t>36.03 %</t>
  </si>
  <si>
    <t>20.64 %</t>
  </si>
  <si>
    <t>Cotización M1023-19 ACTUALIZACION ATR-11</t>
  </si>
  <si>
    <t>38.40 %</t>
  </si>
  <si>
    <t>17.88 %</t>
  </si>
  <si>
    <t>EMERSON TOOL AND APPLIANCE COMPANY</t>
  </si>
  <si>
    <t>OBRA CIVIL (PESOS)</t>
  </si>
  <si>
    <t>89.28 %</t>
  </si>
  <si>
    <t>68.61 %</t>
  </si>
  <si>
    <t>NEWOPTIX RS</t>
  </si>
  <si>
    <t>SUMINISTRO E INSTALACION DE CONTROL DE ACCESO PARA 9 PUERTAS (AREA DE OFICINAS Y PASILLO DE PRIMERA PISO + OFICINAS DE 2do PISO) LECTORA + BOTON    (NO INCLUYE EQUIPO DE COMPUTO)</t>
  </si>
  <si>
    <t>12.73 %</t>
  </si>
  <si>
    <t>VENTA DE MATERIAL PARA LAPTOP / MOCHILA SWISSGEAR 5358/ BASE ENFRIADORA PARA LAPTOP</t>
  </si>
  <si>
    <t>P#12563 -  PO 4501974932 - #RFQReq:206611 - PDU´S - PIN  3060.</t>
  </si>
  <si>
    <t>44.50 %</t>
  </si>
  <si>
    <t>Cotizar Requerimiento en Porton de Accesso Vehicular</t>
  </si>
  <si>
    <t>38.72 %</t>
  </si>
  <si>
    <t>25.42 %</t>
  </si>
  <si>
    <t>PV#12372 - PO # 4501933175 - #RFQReq 197376 - Provisión de Personal Técnico Para Actividades de Instalación de Nodos de Red - (octubre) - PIN 2219</t>
  </si>
  <si>
    <t>($ -321,581.93)</t>
  </si>
  <si>
    <t>32.39 %</t>
  </si>
  <si>
    <t>BCS-AIS ENSAMBLES MEXICO</t>
  </si>
  <si>
    <t>CONTROL DE ACCESO ALMACEN</t>
  </si>
  <si>
    <t>110.67 %</t>
  </si>
  <si>
    <t>85.26 %</t>
  </si>
  <si>
    <t>IIMED MEDICAL SOLUTIONS LLC</t>
  </si>
  <si>
    <t>VENTA E INSTALACION DE 8 DISCOS DUROS DE 10 TB</t>
  </si>
  <si>
    <t>USD</t>
  </si>
  <si>
    <t>49.53 %</t>
  </si>
  <si>
    <t>40.83 %</t>
  </si>
  <si>
    <t>LICENCIAS PARA 6 CONTROL DE ACCESO Y 7 CAMARAS MD3</t>
  </si>
  <si>
    <t>30.73 %</t>
  </si>
  <si>
    <t>14.95 %</t>
  </si>
  <si>
    <t>INSTALACION DE 14 CAMARAS VIVOTEK PLANTA 1</t>
  </si>
  <si>
    <t>48.83 %</t>
  </si>
  <si>
    <t>39.23 %</t>
  </si>
  <si>
    <t>SANMINA-SCI DE MEXICO</t>
  </si>
  <si>
    <t>SUMINSITRO E INSTALACION DE (RELOJ MAESTRO + CONFIGURACION) Actualizado</t>
  </si>
  <si>
    <t>25.13 %</t>
  </si>
  <si>
    <t>CORNING MONTERREY</t>
  </si>
  <si>
    <t>P#11612 - PO #4501900672 -RFQReq:188794 Instalación de servicio de 40 cableados área C&amp;A para instalación de máquinas Pin 8069</t>
  </si>
  <si>
    <t>84.45 %</t>
  </si>
  <si>
    <t>73.56 %</t>
  </si>
  <si>
    <t>TC PROMEDIO</t>
  </si>
  <si>
    <t>Suma total</t>
  </si>
  <si>
    <t>Total general</t>
  </si>
  <si>
    <t>Utilidad despuﾃｩs de indirectos</t>
  </si>
  <si>
    <t>% Utilidad promedio</t>
  </si>
  <si>
    <t>MADRAX GREEN AUTOMATION</t>
  </si>
  <si>
    <t>COTIZACION MATERIAL</t>
  </si>
  <si>
    <t>($ -352.32)</t>
  </si>
  <si>
    <t>(-11.16 %)</t>
  </si>
  <si>
    <t>INSTALACION DE DOS CAMARAS</t>
  </si>
  <si>
    <t>DIAGNOSTICO DE RED</t>
  </si>
  <si>
    <t>Cotizar baterﾃｭa para Laptop Dell LATITUDE 3420</t>
  </si>
  <si>
    <t>PV#12974 - OC#62035 - PIN 6440 -ALEXANDRA BRINGAS</t>
  </si>
  <si>
    <t>Renta de Escalera Elﾃｩctrica Por Mes FEBRERO 2026</t>
  </si>
  <si>
    <t>ALPS ALPINE NORTH AMERICA</t>
  </si>
  <si>
    <t>Solicitud de cotizaciﾃｳn Lainas</t>
  </si>
  <si>
    <t>CARPLASTIC</t>
  </si>
  <si>
    <t>VENTA DE TARJETAS DE CONTROL DE ACCESO 200PGGMN HID  (actualizado a 100 pzas)</t>
  </si>
  <si>
    <t>VENTA DE TECLADO + MOUSE INALAMBRICO DELL KM3322W_5 PZAS</t>
  </si>
  <si>
    <t>Renta de montacargas 2.5 Ton</t>
  </si>
  <si>
    <t>($ -72.00)</t>
  </si>
  <si>
    <t>($ -2,253.52)</t>
  </si>
  <si>
    <t>(-18.78 %)</t>
  </si>
  <si>
    <t>MIKUNI AMERICAN CORPORATION</t>
  </si>
  <si>
    <t>MRORC25-2199_M.M</t>
  </si>
  <si>
    <t>COTIZACION DE BATERIA LENOVO T460s</t>
  </si>
  <si>
    <t>MIGRACION DE IVMS A PC</t>
  </si>
  <si>
    <t>P#12902 - PO 4501997300 - #RFQReq 213569 - SHEYLA AGUILAR Ext:701 - PLANTA RYDN - #1</t>
  </si>
  <si>
    <t>PV#12898 - PO # 4501933175 - #RFQReq 197376 - Provisiﾃｳn de Personal Tﾃｩcnico Para Actividades de Instalaciﾃｳn de Nodos de Red - (Febrero) - PIN 7799.</t>
  </si>
  <si>
    <t>($ -310,049.70)</t>
  </si>
  <si>
    <t>FILTERTEK DE MEXICO</t>
  </si>
  <si>
    <t>P#12897 - PO 480R7252 - Cotizaciﾃｳn cable HDMI - Pin 4704.</t>
  </si>
  <si>
    <t>P#12889 - OC# #61849 - Instalaciﾃｳn de una segunda conexiﾃｳn HDMI, con integraciﾃｳn de caja de conexiones en la mesa de la Sala de Reuniones de la Planta 7 Caliper, Terre Power, para habilitar la proyecciﾃｳn en TV.   Pin 9885.</t>
  </si>
  <si>
    <t>P#12882 - PO 480R7248 - Cotizacion chapa de seguridad - Pin 8199.</t>
  </si>
  <si>
    <t>P#12881 - PO 4501993451 #RFQReq:213439 -Filtros - Pin 4020.</t>
  </si>
  <si>
    <t>P#12877 - PO 4501991572 #RFQReq:212669 - RENTA DE 1 MESES POR 1 PLATAFORMA EN RAM - ENERO - PIN 6239.</t>
  </si>
  <si>
    <t>($ -2,089.26)</t>
  </si>
  <si>
    <t>($ -6,481.12)</t>
  </si>
  <si>
    <t>(-32.88 %)</t>
  </si>
  <si>
    <t>LANDIS &amp; GYR</t>
  </si>
  <si>
    <t>SERVICIO E INSTALACION DE 6 NODOS DE RED (5 NODOS AREA DE OFICINAS PLANTA 1 + 1 NODO AREA DE OFICINAS PLANTA 2) RETIRO DE CABLEADO DE LAS ISLAS DE PLANTA</t>
  </si>
  <si>
    <t>Cotizacion - Bateria URGENTE</t>
  </si>
  <si>
    <t>Cotizaciﾃｳn adaptador Convertidor DB9 Macho RS232 a USB</t>
  </si>
  <si>
    <t>INSTALACION DE 22 SERVICOS DE RED EN BODEGA Y REUBICACION DE APS</t>
  </si>
  <si>
    <t>P#12829 - PO 4501988726 - RFQReq 207415 - PLANTA: RYAI - LLULIANA FRANCO - PIN 2844</t>
  </si>
  <si>
    <t>($ -146.20)</t>
  </si>
  <si>
    <t>(-17.62 %)</t>
  </si>
  <si>
    <t>REPARACION PANTALLA</t>
  </si>
  <si>
    <t>P#12881 - PO 4501993451 #RFQReq:213439 -Filtros - Planta RCS - Pin 4020.</t>
  </si>
  <si>
    <t>INDO-MIM MEXICO</t>
  </si>
  <si>
    <t>VENTA DE MATERIAL DE RED (PINZAS RJ45, BOBINS DE CABLE, PLUG RJ45, JACK, FACE PLATE )</t>
  </si>
  <si>
    <t>QUOTE RECORDER OPERATING SYSTEM FAILURE</t>
  </si>
  <si>
    <t>($ -31.15)</t>
  </si>
  <si>
    <t>P#12712 - PO PENDIENTE -  #RFQReq:209832 - RENTA DE 1 MESES POR 1 PLATAFORMA EN RAM - DICIEMBRE. - PIN 2615.</t>
  </si>
  <si>
    <t>REVISION DE SISTEMA DE VOCEO Y CABLEADO</t>
  </si>
  <si>
    <t>($ -1,572.22)</t>
  </si>
  <si>
    <t>CANALIZACION HERNAN ESPINOZA</t>
  </si>
  <si>
    <t>VENTA E INSTALACION DE MANTAS DE PROYECCION ELECTRICAS</t>
  </si>
  <si>
    <t>RFQ-P-3144</t>
  </si>
  <si>
    <t>GARANTIA P-10179</t>
  </si>
  <si>
    <t>($ -9,606.26)</t>
  </si>
  <si>
    <t>($ -1,162.95)</t>
  </si>
  <si>
    <t>($ -11,109.99)</t>
  </si>
  <si>
    <t>($ -13,141.30)</t>
  </si>
  <si>
    <t>(-2,119,564.52 %)</t>
  </si>
  <si>
    <t>MOVIMIENTO NUEVA BODEGA</t>
  </si>
  <si>
    <t>P#12001 - PO #4501930250 - #RFQReq:195541 Instalaciﾃｳn de 25 nodos de red planta Aneex. - Pin 7368.</t>
  </si>
  <si>
    <t>($ -1,033.69)</t>
  </si>
  <si>
    <t>($ -4,182.92)</t>
  </si>
  <si>
    <t>(-20.64 %)</t>
  </si>
  <si>
    <t>CAMARAS ESTACIONAMIENTO (DOLARES)</t>
  </si>
  <si>
    <t>PROYECTOS</t>
  </si>
  <si>
    <t>PUNTO DE VENTA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</si>
  <si>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</si>
  <si>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</si>
  <si>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</si>
  <si>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</si>
  <si>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</si>
  <si>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</si>
  <si>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</si>
  <si>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</si>
  <si>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</si>
  <si>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</si>
  <si>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</si>
  <si>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</si>
  <si>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TIENDA</t>
  </si>
  <si>
    <t>TOTAL</t>
  </si>
  <si>
    <t>MES</t>
  </si>
  <si>
    <t>VENTAS TOTAL</t>
  </si>
  <si>
    <t>MX</t>
  </si>
  <si>
    <t>MO COB</t>
  </si>
  <si>
    <t>MAT UTILIDAD</t>
  </si>
  <si>
    <t>GASTO OP.</t>
  </si>
  <si>
    <t>UTILIDAD PROY</t>
  </si>
  <si>
    <t>MO COBRADA</t>
  </si>
  <si>
    <t>CLIENTE</t>
  </si>
  <si>
    <t>Utilidad despuÃ©s de indirectos</t>
  </si>
  <si>
    <t>REPARACION DE CELULAR</t>
  </si>
  <si>
    <t>#13126 - PO  4502010682 - #RFQReq 217694 - InstalaciÃ³n de servicio de servicio de 10 cableados para el Ã¡rea de C&amp;P - Pin 6778.</t>
  </si>
  <si>
    <t>SUMINISTRO E INSTALACION DE CHAROLA (AREA  NUEVA DE PRODUCCION PLANTA 2) Actualizado 2</t>
  </si>
  <si>
    <t>#13112 - PO  4502009031 - RENTA DE 1 MES POR 1 PLATAFORMA EN RAM - Marzo - Pin 8063.</t>
  </si>
  <si>
    <t>Pantalla privacidad portatil 14 pulgadas 16:10 K55254WW  KENSINGTON</t>
  </si>
  <si>
    <t>Blackwire Modelo: C3225</t>
  </si>
  <si>
    <t>instalacion de alarma para escalera electrica awp30</t>
  </si>
  <si>
    <t>($ -5,841.45)</t>
  </si>
  <si>
    <t>($ -1,196.71)</t>
  </si>
  <si>
    <t>(-15.70 %)</t>
  </si>
  <si>
    <t>VENTA DE CAMARA EMEET (SMARTCAM) S800-4K</t>
  </si>
  <si>
    <t>INSTALACION DE 4 NODOS DE RED  PARA APS EN PLANTA RCS</t>
  </si>
  <si>
    <t>($ -2,939.59)</t>
  </si>
  <si>
    <t>Renta de Escalera ElÃ©ctrica Por Mes MARZO 2026</t>
  </si>
  <si>
    <t>MONROE MEXICO</t>
  </si>
  <si>
    <t>P#13087 -PO #4502126455 - Movimientos en Ã¡rea de empaque â€“ Planta #3 - Ãrea ContenciÃ³n embarques - Pin 1212.</t>
  </si>
  <si>
    <t>CotizaciÃ³n Diademas Plantronics C3225</t>
  </si>
  <si>
    <t>Cotizar Cables - Adaptadores</t>
  </si>
  <si>
    <t>INSTALACION DE CAMARA EN RECICLADOS</t>
  </si>
  <si>
    <t>VENTA DE LICENCIA DE DESARROLLO WINDOWS GESTION MONITORIZACION TIEMPOS DE DESCANSO</t>
  </si>
  <si>
    <t>P#13041 - PO  PO 4502002585 - #RFQReq 216457 - InstalaciÃ³n de 12 nodos de red planta MTA Pin 1925.</t>
  </si>
  <si>
    <t>($ -1,594.43)</t>
  </si>
  <si>
    <t>PV#13035 - PO # 4501933175 - #RFQReq 197376 - ProvisiÃ³n de Personal TÃ©cnico Para Actividades de InstalaciÃ³n de Nodos de Red - (Marzo) - PIN 5312.</t>
  </si>
  <si>
    <t>($ -311,984.22)</t>
  </si>
  <si>
    <t>Renta montacargas 15 mil libras</t>
  </si>
  <si>
    <t>SMP ENGINE MANAGEMENT</t>
  </si>
  <si>
    <t>REUBICACION DE TUBERIA POR EXPANCION DE TALLER</t>
  </si>
  <si>
    <t>VENTA DE MATERIAL DE RED PANDUIT (JACK COLOR AZUL Y FACEPLATE DE 4 Y 2 ESPACIOS)</t>
  </si>
  <si>
    <t>CotizaciÃ³n protector de privacidad</t>
  </si>
  <si>
    <t>($ -95.71)</t>
  </si>
  <si>
    <t>(-13.37 %)</t>
  </si>
  <si>
    <t>INSTALACION DE 1 NODO DE RED AREA DE PRODUCCION (LINEA 10)</t>
  </si>
  <si>
    <t>Material para Red JosÃ© Rafael H.</t>
  </si>
  <si>
    <t>MATERIAL REQUERIDO PARA SPARE PARTS MD1</t>
  </si>
  <si>
    <t>VENTA DE MOUSE ERGONOMICO PROTO ARC INALAMBRICO (EM11 NL)</t>
  </si>
  <si>
    <t>REPARACION DE CONTROL DE ACCESO DE ELEVADOR</t>
  </si>
  <si>
    <t>#RFQReq:217109 - RENTA DE 1 MES POR 1 PLATAFORMA EN RAM - FEBRERO.</t>
  </si>
  <si>
    <t>REUBICACION DE TECLADO DE ALARMA</t>
  </si>
  <si>
    <t>PUBLICO EN GENERAL</t>
  </si>
  <si>
    <t>INSTALACION DE CENTRO DE CARGA</t>
  </si>
  <si>
    <t>($ -8,058.02)</t>
  </si>
  <si>
    <t>($ -2,480.25)</t>
  </si>
  <si>
    <t>($ -7,232.37)</t>
  </si>
  <si>
    <t>(-34.18 %)</t>
  </si>
  <si>
    <t>P#12871 - PO PENDIENTE - #RFQReq:213529 - PIN 8397.</t>
  </si>
  <si>
    <t>cotizacion bateria 01AV427</t>
  </si>
  <si>
    <t>P#12830 - PO 4501988766 -RFQReq 211179 - Pin 3421.</t>
  </si>
  <si>
    <t>LICENCIA Control de Acceso en Planta Falcon</t>
  </si>
  <si>
    <t>CotizaciÃ³n de InstalaciÃ³n de Control de Acceso Planta Falcon</t>
  </si>
  <si>
    <t>MOVIMIENTO DEL SISTEMA CCTV</t>
  </si>
  <si>
    <t>SERVICIOS DE ADECUACIONES EXTRAS /INSTALACION DE VIDRIO PARA LOBBY/ INSTALACION DE 4 CAMARAS IP CASETA/ INSTALACION DE HERRERIA Y CONCERTINA TORNIQUETE/ INSTALACION DE VIDEO PORTERO VEHICULAR/ COMPRA DE 4 TELEVISORES DE 55" CON SU INSTALACION</t>
  </si>
  <si>
    <t>($ -3,543.04)</t>
  </si>
  <si>
    <t>(-2.11 %)</t>
  </si>
  <si>
    <t>REUBICACION DE LINEA L21-L22 Y LN15-LN16   ABELARDO CASTILLO 08/10/2025</t>
  </si>
  <si>
    <t>P#12211 - PO PENDIENTE- RFQReq:199806 InstalaciÃ³n de tuberÃ­a, cableado y conexiones de para 16 tomas de corriente 208 V 30 AMP en raks de servidores. PIN 2350</t>
  </si>
  <si>
    <t>INSTALACION DE CHAROLA Y SERVICIOS DE RED, CONTROL DE ACCESO, CAMARAS EN AREA DE OFICINAS MD3. 2 parte</t>
  </si>
  <si>
    <t>($ -2,652.90)</t>
  </si>
  <si>
    <t>IDFÂ´S Y CABLE DE FIBRA OPTICA</t>
  </si>
  <si>
    <t>META</t>
  </si>
  <si>
    <t>mxn</t>
  </si>
  <si>
    <t>usd</t>
  </si>
  <si>
    <t>gasto</t>
  </si>
  <si>
    <t>utilidad</t>
  </si>
  <si>
    <t>COMISIONES</t>
  </si>
  <si>
    <t>FECHA DE PAGO</t>
  </si>
  <si>
    <t>TC</t>
  </si>
  <si>
    <t>#13273 - PO  4502020067 -#RFQReq220662 InstalaciÃ³n de servicio de 10 cableados para instalaciÃ³n de checadores MT - Pin 4299.</t>
  </si>
  <si>
    <t>($ -1,409.41)</t>
  </si>
  <si>
    <t>VENTA DE EQUIPOS DE AUDIO AURICULARES JABRA ENVOLVE 2 65 FLEX</t>
  </si>
  <si>
    <t>VENTA DE ADAPTADOR DE DISPLAYPORT 4K A HDMI DP 1.2 UNA SOLA DIRECCION</t>
  </si>
  <si>
    <t>OXXO CAP CARLOS CANTU</t>
  </si>
  <si>
    <t>($ -478.39)</t>
  </si>
  <si>
    <t>OXXO AVE FELIPE</t>
  </si>
  <si>
    <t>MANO DE OBRA POR REVISION Y DIAGNOSTICO DE ANTENA DE RADIO (PLANTA 1)</t>
  </si>
  <si>
    <t>($ -904.30)</t>
  </si>
  <si>
    <t>AMETEK LAMB MOTORES DE MEXICO</t>
  </si>
  <si>
    <t>Cable utp para exterior y Cinchos</t>
  </si>
  <si>
    <t>Renta de Escalera ElÃ©ctrica Por Mes ABRIL 2026</t>
  </si>
  <si>
    <t>CONSORCIO PETROLERO 5M DEL GOLFO</t>
  </si>
  <si>
    <t>REVISION DEL CONTROL DE ACCESO</t>
  </si>
  <si>
    <t>ANA MARGARITA SAHAGUN</t>
  </si>
  <si>
    <t>Goods Plant:RY1 #RFQReq:217508 #Vendor:251337#</t>
  </si>
  <si>
    <t>($ -2.53)</t>
  </si>
  <si>
    <t>($ -6.46)</t>
  </si>
  <si>
    <t>(-0.32 %)</t>
  </si>
  <si>
    <t>VENTA DE TARJETAS DE CONTROL DE ACCESO (1326LGSMV PROXCARD) Actualizado</t>
  </si>
  <si>
    <t>CotizaciÃ³n Mouse InalÃ¡mbrico NYIEFADA</t>
  </si>
  <si>
    <t>BLACK &amp; DECKER DE REYNOSA</t>
  </si>
  <si>
    <t>P#13212 -OC #619826 - Servicio de Reemplazo De Chapas MagnÃ©ticas, Cierra Puerta y BotÃ³n Verde Puerta Peatonal a Planta â€“ Caseta Principal - Pin 8080.</t>
  </si>
  <si>
    <t>COTIZACION Laptop HP 14-DQ0518LA</t>
  </si>
  <si>
    <t>P#13203 - OC#619790 - Servicio de Reemplazo de BotÃ³n de Puerta Laboratorio MetrologÃ­a. - Pin 4078</t>
  </si>
  <si>
    <t>#13200 - OC 619793 - Servicio de Reemplazo de CÃ¡mara PTZ IP Domo 52 AlmacÃ©n Residuos Peligrosos, Pin 2602.</t>
  </si>
  <si>
    <t>REPARACION DE PANTALLA DE CELULAR SAMSUNG S24 ULTRA (SM-S2928B)</t>
  </si>
  <si>
    <t>RENTA DE GENERADOR</t>
  </si>
  <si>
    <t>#RFQReq:218489 PLATAFORMA EN RAM - Abril</t>
  </si>
  <si>
    <t>Goods Plant:RY1 #RFQReq:218337 #Vendor:252772#</t>
  </si>
  <si>
    <t>Goods Plant:RAM #RFQReq:217877 #Vendor:252276#</t>
  </si>
  <si>
    <t>VENTA DE CABLE VIAKON (DMI) Y CABLE PARA RED (PANDUIT)</t>
  </si>
  <si>
    <t>NODOS DE RED MAQUINAS NUEVAS</t>
  </si>
  <si>
    <t>VEXIN GLOBAL SUPPLY</t>
  </si>
  <si>
    <t>COTIZACION DE PANTALLA INTERACTIVA HIKVISION (DS-D5C86RB/B2L(EDLA)</t>
  </si>
  <si>
    <t>CRISTALERA GONZALEZ MORELOS</t>
  </si>
  <si>
    <t>Reparacion Puerta</t>
  </si>
  <si>
    <t>($ -2,028.42)</t>
  </si>
  <si>
    <t>($ -690.53)</t>
  </si>
  <si>
    <t>($ -2,486.83)</t>
  </si>
  <si>
    <t>(-33.29 %)</t>
  </si>
  <si>
    <t>switches 5 puertos</t>
  </si>
  <si>
    <t>OFICINAS BERRENDO EQUIPOS NUEVOS</t>
  </si>
  <si>
    <t>#13128 - PO 4502010687 -#RFQReq 217708 - InstalaciÃ³n de servicio de servicio de 16 cableados para el Ã¡rea de C&amp;A Auto - Pin 1201</t>
  </si>
  <si>
    <t>($ -2,505.87)</t>
  </si>
  <si>
    <t>EXEDENTE INSTALACION SOLAR JAIME RODRIGUEZ</t>
  </si>
  <si>
    <t>OFICINAS BERRENDO</t>
  </si>
  <si>
    <t>#13094 - OC ##63719 - NVR 32 Megapixel (8K) / 64 Canales IP / AcuSense - Pin, 2857.</t>
  </si>
  <si>
    <t>CAL-COMP ELECTRONICS DE MEXICO CO</t>
  </si>
  <si>
    <t>P#13082 - PO 26040900006 - Material para caseta de guardias - Pin 2317.</t>
  </si>
  <si>
    <t>P#13075 - PO 4502127195 -InstalaciÃ³n de Control de Acceso Ãrea Tool Room - Pin 2406.</t>
  </si>
  <si>
    <t>Cotizar Celular OPPO</t>
  </si>
  <si>
    <t>P#13049 -PO PO 4502007563 #RFQReq:216408  - SHIEYLA AGUILAR - PLANTA: RYDN - PIN 1073</t>
  </si>
  <si>
    <t>INSTALACION 14 PANELES CON INVERSOR DE 10K</t>
  </si>
  <si>
    <t>($ -4,193.79)</t>
  </si>
  <si>
    <t>#13014 -  PO #4502002342 -Shield:2873648 - KARINA GAMBOA - MATEO SEQUERA - PLANTA RAM - PIN 5962.</t>
  </si>
  <si>
    <t>P#12901 - PO 4502001317 -  #RFQReq:213388 - PLANTA: RYDN - RAM - Sheyla Aguilar - Pin 6923.</t>
  </si>
  <si>
    <t>P#12846 - PO 4501995083 - #RFQReq 212655 - BLANCA KARINA GAMBOA JEREZ - RYDN - RAM - PIN 1098.</t>
  </si>
  <si>
    <t>INSTALACION DE APS</t>
  </si>
  <si>
    <t>RETRABAJO FIBRA OPTICA</t>
  </si>
  <si>
    <t>P#12595 - PO 4501980121 -Plant RCS #RFQReqn209505 - InstalaciÃ³n de Fibra Ã“ptica en Planta CLS (RYR6) Pin 8165.</t>
  </si>
  <si>
    <t>LIMPIEZA Y DEPURACION DE IDF'S</t>
  </si>
  <si>
    <t>BAJADAS DERED PARA EQUIPOS</t>
  </si>
  <si>
    <t xml:space="preserve">Suma total </t>
  </si>
  <si>
    <t xml:space="preserve">Suma total  </t>
  </si>
  <si>
    <t>META 2026</t>
  </si>
  <si>
    <t>MAT REAL</t>
  </si>
  <si>
    <t>VENTAS  TOTALES CONSOLIDADAS  2026</t>
  </si>
  <si>
    <t>MATERIAL REAL</t>
  </si>
  <si>
    <t>Utilidad bruta</t>
  </si>
  <si>
    <t>#13462 - Proyecto de garantﾃｭa de #13212. - Pin 5524.</t>
  </si>
  <si>
    <t>($ -494.61)</t>
  </si>
  <si>
    <t>($ -4,069.29)</t>
  </si>
  <si>
    <t>($ -4,565.63)</t>
  </si>
  <si>
    <t>($ -5,763.54)</t>
  </si>
  <si>
    <t>(-6,484.63 %)</t>
  </si>
  <si>
    <t>SUMINISTRO E INSTALACION DE CAMARA TURBO HD NUEVA Y CABLEADO NUEVO (AREA DE RAMPAS)</t>
  </si>
  <si>
    <t>Cotizar Adaptador</t>
  </si>
  <si>
    <t>RENTA 2 PLATAFORMAS DE TIJERA POR DOS MESES</t>
  </si>
  <si>
    <t>($ -12,212.36)</t>
  </si>
  <si>
    <t>(-16.33 %)</t>
  </si>
  <si>
    <t>VENTA DE CABLE HDMI REDLEAFT (HDMIFO50) 50 MTS_2</t>
  </si>
  <si>
    <t>VENTA DE BATERIAS BPA-12V24Ah (INDUSTRONIC)</t>
  </si>
  <si>
    <t>Renta de Escalera Elﾃｩctrica Por Mes MAYO 2026</t>
  </si>
  <si>
    <t>REVICION Y REPARACION DE CONTROL DE ACCESO DE ELEVADOR</t>
  </si>
  <si>
    <t>PV#13362 - OC#65763 - PIN 6224 -ALEXANDRA BRINGAS</t>
  </si>
  <si>
    <t>GM3 INDUSTRIAL SERVICES S. DE R.L. DE C.V</t>
  </si>
  <si>
    <t>CERRADURA INTELIGENTE</t>
  </si>
  <si>
    <t>INTERMEX MANUFACTURA</t>
  </si>
  <si>
    <t>SUMINISTRO E INSTALACION DE 5 NODOS DE RED AREA DE KRAKEN</t>
  </si>
  <si>
    <t>VENTA E INSTALACION DE BOTON EN TORNIQUETE</t>
  </si>
  <si>
    <t>GARANTIA DE CHAPA MAGNETICA (PUERTA PASILLO)</t>
  </si>
  <si>
    <t>($ -1,286.84)</t>
  </si>
  <si>
    <t>($ -1,286.34)</t>
  </si>
  <si>
    <t>($ -1,806.59)</t>
  </si>
  <si>
    <t>(-361,318.00 %)</t>
  </si>
  <si>
    <t>Cotizaciﾃｳn M1023-19 ACTUALIZACION ATR-11</t>
  </si>
  <si>
    <t>VENTA DE LICENCIA PERPETUA SOFTWARE LABEL MATRIX (RFQ:26042319)</t>
  </si>
  <si>
    <t>Goods Plant:RAM #RFQReq:220596 #Vendor:256352#</t>
  </si>
  <si>
    <t>VENTA DE AURICULARES JABRA ENVOLVE2 65 FLEX</t>
  </si>
  <si>
    <t>NODO MAQUINA NUEVA</t>
  </si>
  <si>
    <t>2 CABLEADOS PARA IMPRESORAS PLANTA 2</t>
  </si>
  <si>
    <t>SUMINISTRO E INSTALACION DE NODOS DE RED EN EL AREA DE (IPLANT / ELECTRONICS / EMBARQUES)</t>
  </si>
  <si>
    <t>MARIA ANTONIETA NUﾃ薦Z PACHECO</t>
  </si>
  <si>
    <t>reparacion de ap naranjos</t>
  </si>
  <si>
    <t>VENTA DE ACCESORIOS PARA CHAROLA (CHAROFIL)</t>
  </si>
  <si>
    <t>Cotizar Accesorios para mesa de Juntas</t>
  </si>
  <si>
    <t>MIKUNI MEXICANA</t>
  </si>
  <si>
    <t>MRORC26-1334_M.M</t>
  </si>
  <si>
    <t>VENTA DE MONTAJE DE PISO MOBIL DE 86" A 98" (HIKVISION)</t>
  </si>
  <si>
    <t>Goods Plant:RY1 #RFQReq:217440 #Vendor:252542#</t>
  </si>
  <si>
    <t>COTIZACION VS-BX5100 SECURITY CAMERA</t>
  </si>
  <si>
    <t>Utilidad despues de indirectos</t>
  </si>
  <si>
    <t xml:space="preserve">   </t>
  </si>
  <si>
    <t>ALFREDO</t>
  </si>
  <si>
    <t>CELESTE</t>
  </si>
  <si>
    <t>ORLANDO</t>
  </si>
  <si>
    <t>MARIA ANTONIETA NUÑEZ PACHECO</t>
  </si>
  <si>
    <t>GASTOS PROYECTOS</t>
  </si>
  <si>
    <t>UT. BRUTA PROYECTOS</t>
  </si>
  <si>
    <t>UTILIDAD NETA PROYECTOS</t>
  </si>
  <si>
    <t>UT. BRUTA TIENDA</t>
  </si>
  <si>
    <t>UTILIDAD BRUTA TOTAL</t>
  </si>
  <si>
    <t>GASTOS TIENDA</t>
  </si>
  <si>
    <t>UTILIDAD NETA TIENDA</t>
  </si>
  <si>
    <t>UTILIDAD NETA TOTAL</t>
  </si>
  <si>
    <t>VENTAS PROYECTOS</t>
  </si>
  <si>
    <t>VENTAS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</si>
</sst>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;[Red]\-&quot;$&quot;#,##0.00"/>
    <numFmt numFmtId="44" formatCode="_-&quot;$&quot;* #,##0.00_-;\-&quot;$&quot;* #,##0.00_-;_-&quot;$&quot;* &quot;-&quot;??_-;_-@_-"/>
    <numFmt numFmtId="164" formatCode="dd/mm/yy"/>
    <numFmt numFmtId="165" formatCode="&quot;$&quot;#,##0.00"/>
    <numFmt numFmtId="166" formatCode="&quot;$&quot;#,##0.0000"/>
    <numFmt numFmtId="167" formatCode="&quot;$&quot;#,##0.0000;[Red]\-&quot;$&quot;#,##0.0000"/>
    <numFmt numFmtId="168" formatCode="0.0%"/>
    <numFmt numFmtId="169" formatCode="&quot;$&quot;#,##0"/>
    <numFmt numFmtId="170" formatCode="_-&quot;$&quot;* #,##0_-;\-&quot;$&quot;* #,##0_-;_-&quot;$&quot;* &quot;-&quot;??_-;_-@_-"/>
  </numFmts>
  <fonts count="2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b/>
      <sz val="24"/>
      <color rgb="FF00206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4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11" fillId="0" borderId="0"/>
    <xf numFmtId="0" fontId="3" fillId="0" borderId="0"/>
    <xf numFmtId="0" fontId="1" fillId="0" borderId="0"/>
  </cellStyleXfs>
  <cellXfs count="206">
    <xf numFmtId="0" fontId="0" fillId="0" borderId="0" xfId="0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9" fontId="7" fillId="0" borderId="1" xfId="0" applyNumberFormat="1" applyFont="1" applyBorder="1"/>
    <xf numFmtId="44" fontId="8" fillId="0" borderId="1" xfId="1" applyFont="1" applyBorder="1"/>
    <xf numFmtId="44" fontId="8" fillId="0" borderId="3" xfId="1" applyFont="1" applyFill="1" applyBorder="1"/>
    <xf numFmtId="0" fontId="11" fillId="0" borderId="0" xfId="0" applyFont="1"/>
    <xf numFmtId="0" fontId="8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44" fontId="13" fillId="0" borderId="5" xfId="1" applyFon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7" fillId="0" borderId="0" xfId="0" applyFont="1"/>
    <xf numFmtId="165" fontId="7" fillId="0" borderId="0" xfId="0" applyNumberFormat="1" applyFont="1"/>
    <xf numFmtId="0" fontId="10" fillId="2" borderId="6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44" fontId="0" fillId="0" borderId="4" xfId="1" applyFont="1" applyBorder="1"/>
    <xf numFmtId="0" fontId="14" fillId="4" borderId="5" xfId="0" applyFont="1" applyFill="1" applyBorder="1" applyAlignment="1">
      <alignment vertical="center"/>
    </xf>
    <xf numFmtId="0" fontId="13" fillId="0" borderId="4" xfId="0" applyFont="1" applyBorder="1" applyAlignment="1">
      <alignment horizontal="center"/>
    </xf>
    <xf numFmtId="44" fontId="0" fillId="0" borderId="4" xfId="0" applyNumberFormat="1" applyBorder="1" applyAlignment="1">
      <alignment horizontal="center" vertical="center"/>
    </xf>
    <xf numFmtId="0" fontId="15" fillId="0" borderId="4" xfId="0" applyFont="1" applyBorder="1"/>
    <xf numFmtId="44" fontId="15" fillId="0" borderId="4" xfId="1" applyFont="1" applyFill="1" applyBorder="1" applyAlignment="1">
      <alignment horizontal="center"/>
    </xf>
    <xf numFmtId="44" fontId="15" fillId="0" borderId="4" xfId="1" applyFont="1" applyFill="1" applyBorder="1"/>
    <xf numFmtId="44" fontId="15" fillId="0" borderId="4" xfId="0" applyNumberFormat="1" applyFont="1" applyBorder="1" applyAlignment="1">
      <alignment horizontal="center"/>
    </xf>
    <xf numFmtId="44" fontId="15" fillId="0" borderId="4" xfId="0" applyNumberFormat="1" applyFont="1" applyBorder="1"/>
    <xf numFmtId="0" fontId="15" fillId="7" borderId="4" xfId="0" applyFont="1" applyFill="1" applyBorder="1"/>
    <xf numFmtId="44" fontId="15" fillId="7" borderId="4" xfId="0" applyNumberFormat="1" applyFont="1" applyFill="1" applyBorder="1" applyAlignment="1">
      <alignment horizontal="center"/>
    </xf>
    <xf numFmtId="0" fontId="16" fillId="0" borderId="4" xfId="0" applyFont="1" applyBorder="1"/>
    <xf numFmtId="0" fontId="15" fillId="8" borderId="4" xfId="0" applyFont="1" applyFill="1" applyBorder="1"/>
    <xf numFmtId="44" fontId="17" fillId="8" borderId="4" xfId="0" applyNumberFormat="1" applyFont="1" applyFill="1" applyBorder="1" applyAlignment="1">
      <alignment horizontal="center"/>
    </xf>
    <xf numFmtId="0" fontId="16" fillId="0" borderId="0" xfId="0" applyFont="1"/>
    <xf numFmtId="0" fontId="7" fillId="5" borderId="1" xfId="0" applyFont="1" applyFill="1" applyBorder="1"/>
    <xf numFmtId="165" fontId="8" fillId="0" borderId="3" xfId="0" applyNumberFormat="1" applyFont="1" applyBorder="1"/>
    <xf numFmtId="44" fontId="15" fillId="6" borderId="4" xfId="1" applyFont="1" applyFill="1" applyBorder="1" applyAlignment="1">
      <alignment vertical="center"/>
    </xf>
    <xf numFmtId="0" fontId="15" fillId="6" borderId="4" xfId="0" applyFont="1" applyFill="1" applyBorder="1" applyAlignment="1">
      <alignment horizontal="center" vertical="center"/>
    </xf>
    <xf numFmtId="10" fontId="13" fillId="0" borderId="4" xfId="2" applyNumberFormat="1" applyFont="1" applyBorder="1" applyAlignment="1">
      <alignment horizontal="center" vertical="center"/>
    </xf>
    <xf numFmtId="0" fontId="8" fillId="0" borderId="0" xfId="4" applyFont="1"/>
    <xf numFmtId="0" fontId="8" fillId="0" borderId="4" xfId="4" applyFont="1" applyBorder="1"/>
    <xf numFmtId="0" fontId="8" fillId="0" borderId="4" xfId="4" applyFont="1" applyBorder="1" applyAlignment="1">
      <alignment horizontal="center"/>
    </xf>
    <xf numFmtId="0" fontId="8" fillId="0" borderId="0" xfId="4" applyFont="1" applyAlignment="1">
      <alignment horizontal="center"/>
    </xf>
    <xf numFmtId="44" fontId="0" fillId="0" borderId="5" xfId="0" applyNumberForma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4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44" fontId="0" fillId="0" borderId="0" xfId="1" applyFont="1"/>
    <xf numFmtId="44" fontId="15" fillId="3" borderId="4" xfId="1" applyFont="1" applyFill="1" applyBorder="1"/>
    <xf numFmtId="0" fontId="8" fillId="0" borderId="4" xfId="4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8" fontId="8" fillId="0" borderId="4" xfId="4" applyNumberFormat="1" applyFont="1" applyBorder="1" applyAlignment="1">
      <alignment horizontal="left"/>
    </xf>
    <xf numFmtId="10" fontId="8" fillId="0" borderId="4" xfId="4" applyNumberFormat="1" applyFont="1" applyBorder="1" applyAlignment="1">
      <alignment horizontal="left"/>
    </xf>
    <xf numFmtId="9" fontId="8" fillId="0" borderId="4" xfId="4" applyNumberFormat="1" applyFont="1" applyBorder="1" applyAlignment="1">
      <alignment horizontal="left"/>
    </xf>
    <xf numFmtId="0" fontId="8" fillId="0" borderId="0" xfId="4" applyFont="1" applyAlignment="1">
      <alignment horizontal="left"/>
    </xf>
    <xf numFmtId="14" fontId="8" fillId="0" borderId="4" xfId="4" applyNumberFormat="1" applyFont="1" applyBorder="1" applyAlignment="1">
      <alignment horizontal="left"/>
    </xf>
    <xf numFmtId="0" fontId="15" fillId="6" borderId="4" xfId="0" applyFont="1" applyFill="1" applyBorder="1" applyAlignment="1">
      <alignment horizontal="left" vertical="center"/>
    </xf>
    <xf numFmtId="44" fontId="15" fillId="3" borderId="4" xfId="1" applyFont="1" applyFill="1" applyBorder="1" applyAlignment="1">
      <alignment horizontal="left"/>
    </xf>
    <xf numFmtId="44" fontId="15" fillId="0" borderId="4" xfId="0" applyNumberFormat="1" applyFont="1" applyBorder="1" applyAlignment="1">
      <alignment horizontal="left"/>
    </xf>
    <xf numFmtId="44" fontId="15" fillId="7" borderId="4" xfId="0" applyNumberFormat="1" applyFont="1" applyFill="1" applyBorder="1" applyAlignment="1">
      <alignment horizontal="left"/>
    </xf>
    <xf numFmtId="44" fontId="17" fillId="8" borderId="4" xfId="0" applyNumberFormat="1" applyFont="1" applyFill="1" applyBorder="1" applyAlignment="1">
      <alignment horizontal="left"/>
    </xf>
    <xf numFmtId="0" fontId="10" fillId="2" borderId="7" xfId="0" applyFont="1" applyFill="1" applyBorder="1" applyAlignment="1">
      <alignment horizontal="center"/>
    </xf>
    <xf numFmtId="44" fontId="0" fillId="0" borderId="4" xfId="0" applyNumberFormat="1" applyBorder="1"/>
    <xf numFmtId="0" fontId="11" fillId="0" borderId="4" xfId="0" applyFont="1" applyBorder="1"/>
    <xf numFmtId="0" fontId="8" fillId="0" borderId="4" xfId="0" applyFont="1" applyBorder="1"/>
    <xf numFmtId="0" fontId="15" fillId="9" borderId="4" xfId="0" applyFont="1" applyFill="1" applyBorder="1"/>
    <xf numFmtId="44" fontId="15" fillId="9" borderId="4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8" fillId="0" borderId="4" xfId="5" applyFont="1" applyBorder="1"/>
    <xf numFmtId="0" fontId="8" fillId="0" borderId="4" xfId="5" applyFont="1" applyBorder="1" applyAlignment="1">
      <alignment horizontal="left"/>
    </xf>
    <xf numFmtId="0" fontId="7" fillId="5" borderId="1" xfId="6" applyFont="1" applyFill="1" applyBorder="1"/>
    <xf numFmtId="0" fontId="7" fillId="5" borderId="4" xfId="5" applyFont="1" applyFill="1" applyBorder="1" applyAlignment="1">
      <alignment horizontal="left"/>
    </xf>
    <xf numFmtId="0" fontId="4" fillId="0" borderId="0" xfId="5"/>
    <xf numFmtId="14" fontId="8" fillId="0" borderId="4" xfId="5" applyNumberFormat="1" applyFont="1" applyBorder="1"/>
    <xf numFmtId="8" fontId="8" fillId="0" borderId="4" xfId="5" applyNumberFormat="1" applyFont="1" applyBorder="1" applyAlignment="1">
      <alignment horizontal="left"/>
    </xf>
    <xf numFmtId="9" fontId="8" fillId="0" borderId="4" xfId="5" applyNumberFormat="1" applyFont="1" applyBorder="1"/>
    <xf numFmtId="10" fontId="8" fillId="0" borderId="4" xfId="5" applyNumberFormat="1" applyFont="1" applyBorder="1" applyAlignment="1">
      <alignment horizontal="left"/>
    </xf>
    <xf numFmtId="0" fontId="4" fillId="0" borderId="0" xfId="5" applyAlignment="1">
      <alignment horizontal="left"/>
    </xf>
    <xf numFmtId="0" fontId="15" fillId="6" borderId="4" xfId="6" applyFont="1" applyFill="1" applyBorder="1" applyAlignment="1">
      <alignment horizontal="center" vertical="center"/>
    </xf>
    <xf numFmtId="0" fontId="15" fillId="0" borderId="4" xfId="6" applyFont="1" applyBorder="1"/>
    <xf numFmtId="44" fontId="15" fillId="0" borderId="4" xfId="6" applyNumberFormat="1" applyFont="1" applyBorder="1" applyAlignment="1">
      <alignment horizontal="center"/>
    </xf>
    <xf numFmtId="44" fontId="15" fillId="0" borderId="4" xfId="6" applyNumberFormat="1" applyFont="1" applyBorder="1"/>
    <xf numFmtId="0" fontId="15" fillId="7" borderId="4" xfId="6" applyFont="1" applyFill="1" applyBorder="1"/>
    <xf numFmtId="44" fontId="15" fillId="7" borderId="4" xfId="6" applyNumberFormat="1" applyFont="1" applyFill="1" applyBorder="1" applyAlignment="1">
      <alignment horizontal="center"/>
    </xf>
    <xf numFmtId="0" fontId="16" fillId="0" borderId="4" xfId="6" applyFont="1" applyBorder="1"/>
    <xf numFmtId="0" fontId="15" fillId="8" borderId="4" xfId="6" applyFont="1" applyFill="1" applyBorder="1"/>
    <xf numFmtId="44" fontId="17" fillId="8" borderId="4" xfId="6" applyNumberFormat="1" applyFont="1" applyFill="1" applyBorder="1" applyAlignment="1">
      <alignment horizontal="center"/>
    </xf>
    <xf numFmtId="0" fontId="16" fillId="0" borderId="0" xfId="6" applyFont="1"/>
    <xf numFmtId="0" fontId="0" fillId="0" borderId="8" xfId="0" applyBorder="1" applyAlignment="1">
      <alignment horizontal="left"/>
    </xf>
    <xf numFmtId="165" fontId="18" fillId="0" borderId="4" xfId="0" applyNumberFormat="1" applyFont="1" applyBorder="1"/>
    <xf numFmtId="165" fontId="19" fillId="0" borderId="4" xfId="0" applyNumberFormat="1" applyFont="1" applyBorder="1"/>
    <xf numFmtId="14" fontId="19" fillId="0" borderId="4" xfId="0" applyNumberFormat="1" applyFont="1" applyBorder="1" applyAlignment="1">
      <alignment horizontal="center"/>
    </xf>
    <xf numFmtId="0" fontId="3" fillId="0" borderId="0" xfId="7"/>
    <xf numFmtId="0" fontId="3" fillId="0" borderId="4" xfId="7" applyBorder="1"/>
    <xf numFmtId="0" fontId="3" fillId="0" borderId="4" xfId="7" applyBorder="1" applyAlignment="1">
      <alignment horizontal="center"/>
    </xf>
    <xf numFmtId="0" fontId="3" fillId="0" borderId="0" xfId="7" applyAlignment="1">
      <alignment horizontal="center"/>
    </xf>
    <xf numFmtId="0" fontId="3" fillId="0" borderId="4" xfId="7" applyBorder="1" applyAlignment="1">
      <alignment horizontal="left"/>
    </xf>
    <xf numFmtId="8" fontId="3" fillId="0" borderId="4" xfId="7" applyNumberFormat="1" applyBorder="1" applyAlignment="1">
      <alignment horizontal="left"/>
    </xf>
    <xf numFmtId="0" fontId="3" fillId="0" borderId="0" xfId="7" applyAlignment="1">
      <alignment horizontal="left"/>
    </xf>
    <xf numFmtId="10" fontId="3" fillId="0" borderId="4" xfId="7" applyNumberFormat="1" applyBorder="1" applyAlignment="1">
      <alignment horizontal="center"/>
    </xf>
    <xf numFmtId="9" fontId="3" fillId="0" borderId="4" xfId="7" applyNumberFormat="1" applyBorder="1" applyAlignment="1">
      <alignment horizontal="center"/>
    </xf>
    <xf numFmtId="0" fontId="20" fillId="6" borderId="4" xfId="7" applyFont="1" applyFill="1" applyBorder="1" applyAlignment="1">
      <alignment vertical="center"/>
    </xf>
    <xf numFmtId="0" fontId="20" fillId="6" borderId="4" xfId="7" applyFont="1" applyFill="1" applyBorder="1" applyAlignment="1">
      <alignment horizontal="center" vertical="center"/>
    </xf>
    <xf numFmtId="8" fontId="3" fillId="0" borderId="4" xfId="7" applyNumberFormat="1" applyBorder="1" applyAlignment="1">
      <alignment horizontal="center"/>
    </xf>
    <xf numFmtId="167" fontId="3" fillId="0" borderId="0" xfId="7" applyNumberFormat="1" applyAlignment="1">
      <alignment horizontal="center"/>
    </xf>
    <xf numFmtId="0" fontId="21" fillId="11" borderId="5" xfId="0" applyFont="1" applyFill="1" applyBorder="1" applyAlignment="1">
      <alignment vertical="center"/>
    </xf>
    <xf numFmtId="44" fontId="21" fillId="11" borderId="5" xfId="0" applyNumberFormat="1" applyFont="1" applyFill="1" applyBorder="1" applyAlignment="1">
      <alignment horizontal="center" vertical="center"/>
    </xf>
    <xf numFmtId="8" fontId="3" fillId="0" borderId="0" xfId="7" applyNumberFormat="1" applyAlignment="1">
      <alignment horizontal="left"/>
    </xf>
    <xf numFmtId="44" fontId="11" fillId="0" borderId="4" xfId="1" applyFont="1" applyBorder="1"/>
    <xf numFmtId="44" fontId="13" fillId="0" borderId="9" xfId="0" applyNumberFormat="1" applyFont="1" applyBorder="1"/>
    <xf numFmtId="44" fontId="0" fillId="0" borderId="0" xfId="0" applyNumberFormat="1"/>
    <xf numFmtId="0" fontId="7" fillId="7" borderId="1" xfId="0" applyFont="1" applyFill="1" applyBorder="1"/>
    <xf numFmtId="165" fontId="7" fillId="7" borderId="1" xfId="0" applyNumberFormat="1" applyFont="1" applyFill="1" applyBorder="1"/>
    <xf numFmtId="0" fontId="0" fillId="7" borderId="4" xfId="0" applyFill="1" applyBorder="1"/>
    <xf numFmtId="17" fontId="13" fillId="7" borderId="0" xfId="0" applyNumberFormat="1" applyFont="1" applyFill="1" applyAlignment="1">
      <alignment horizontal="center"/>
    </xf>
    <xf numFmtId="0" fontId="7" fillId="7" borderId="4" xfId="0" applyFont="1" applyFill="1" applyBorder="1"/>
    <xf numFmtId="44" fontId="13" fillId="7" borderId="4" xfId="1" applyFont="1" applyFill="1" applyBorder="1"/>
    <xf numFmtId="0" fontId="22" fillId="0" borderId="0" xfId="0" applyFont="1"/>
    <xf numFmtId="166" fontId="22" fillId="0" borderId="0" xfId="0" applyNumberFormat="1" applyFont="1"/>
    <xf numFmtId="44" fontId="0" fillId="0" borderId="10" xfId="1" applyFont="1" applyBorder="1"/>
    <xf numFmtId="44" fontId="13" fillId="7" borderId="10" xfId="1" applyFont="1" applyFill="1" applyBorder="1"/>
    <xf numFmtId="0" fontId="10" fillId="2" borderId="11" xfId="0" applyFont="1" applyFill="1" applyBorder="1" applyAlignment="1">
      <alignment horizontal="center"/>
    </xf>
    <xf numFmtId="165" fontId="7" fillId="7" borderId="2" xfId="0" applyNumberFormat="1" applyFont="1" applyFill="1" applyBorder="1"/>
    <xf numFmtId="165" fontId="18" fillId="0" borderId="8" xfId="0" applyNumberFormat="1" applyFont="1" applyBorder="1"/>
    <xf numFmtId="165" fontId="19" fillId="0" borderId="8" xfId="0" applyNumberFormat="1" applyFont="1" applyBorder="1"/>
    <xf numFmtId="0" fontId="0" fillId="0" borderId="8" xfId="0" applyBorder="1"/>
    <xf numFmtId="0" fontId="0" fillId="7" borderId="8" xfId="0" applyFill="1" applyBorder="1"/>
    <xf numFmtId="0" fontId="10" fillId="2" borderId="4" xfId="0" applyFont="1" applyFill="1" applyBorder="1" applyAlignment="1">
      <alignment horizontal="center"/>
    </xf>
    <xf numFmtId="0" fontId="23" fillId="12" borderId="0" xfId="0" applyFont="1" applyFill="1" applyAlignment="1">
      <alignment horizontal="center"/>
    </xf>
    <xf numFmtId="44" fontId="23" fillId="12" borderId="0" xfId="1" applyFont="1" applyFill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8" fillId="0" borderId="13" xfId="0" applyFont="1" applyBorder="1"/>
    <xf numFmtId="0" fontId="20" fillId="7" borderId="4" xfId="7" applyFont="1" applyFill="1" applyBorder="1" applyAlignment="1">
      <alignment vertical="center"/>
    </xf>
    <xf numFmtId="14" fontId="3" fillId="0" borderId="4" xfId="7" applyNumberFormat="1" applyBorder="1" applyAlignment="1">
      <alignment horizontal="center"/>
    </xf>
    <xf numFmtId="44" fontId="15" fillId="3" borderId="4" xfId="1" applyFont="1" applyFill="1" applyBorder="1" applyAlignment="1">
      <alignment horizontal="center"/>
    </xf>
    <xf numFmtId="0" fontId="20" fillId="8" borderId="4" xfId="7" applyFont="1" applyFill="1" applyBorder="1" applyAlignment="1">
      <alignment vertical="center"/>
    </xf>
    <xf numFmtId="44" fontId="3" fillId="0" borderId="0" xfId="1" applyFont="1" applyAlignment="1">
      <alignment horizontal="left"/>
    </xf>
    <xf numFmtId="0" fontId="2" fillId="0" borderId="0" xfId="7" applyFont="1" applyAlignment="1">
      <alignment horizontal="left"/>
    </xf>
    <xf numFmtId="44" fontId="3" fillId="0" borderId="0" xfId="7" applyNumberFormat="1" applyAlignment="1">
      <alignment horizontal="left"/>
    </xf>
    <xf numFmtId="0" fontId="7" fillId="8" borderId="1" xfId="0" applyFont="1" applyFill="1" applyBorder="1"/>
    <xf numFmtId="44" fontId="0" fillId="8" borderId="0" xfId="1" applyFont="1" applyFill="1"/>
    <xf numFmtId="0" fontId="8" fillId="8" borderId="4" xfId="5" applyFont="1" applyFill="1" applyBorder="1" applyAlignment="1">
      <alignment horizontal="left"/>
    </xf>
    <xf numFmtId="44" fontId="4" fillId="8" borderId="0" xfId="1" applyFont="1" applyFill="1" applyAlignment="1">
      <alignment horizontal="left"/>
    </xf>
    <xf numFmtId="0" fontId="8" fillId="8" borderId="4" xfId="4" applyFont="1" applyFill="1" applyBorder="1" applyAlignment="1">
      <alignment horizontal="left"/>
    </xf>
    <xf numFmtId="44" fontId="8" fillId="8" borderId="0" xfId="1" applyFont="1" applyFill="1" applyAlignment="1">
      <alignment horizontal="left"/>
    </xf>
    <xf numFmtId="168" fontId="13" fillId="0" borderId="4" xfId="2" applyNumberFormat="1" applyFont="1" applyBorder="1" applyAlignment="1">
      <alignment horizontal="center" vertical="center"/>
    </xf>
    <xf numFmtId="0" fontId="1" fillId="0" borderId="0" xfId="8"/>
    <xf numFmtId="9" fontId="1" fillId="0" borderId="0" xfId="8" applyNumberFormat="1"/>
    <xf numFmtId="0" fontId="1" fillId="0" borderId="4" xfId="8" applyBorder="1"/>
    <xf numFmtId="14" fontId="1" fillId="0" borderId="4" xfId="8" applyNumberFormat="1" applyBorder="1"/>
    <xf numFmtId="8" fontId="1" fillId="0" borderId="4" xfId="8" applyNumberFormat="1" applyBorder="1"/>
    <xf numFmtId="10" fontId="1" fillId="0" borderId="4" xfId="8" applyNumberFormat="1" applyBorder="1"/>
    <xf numFmtId="0" fontId="1" fillId="0" borderId="4" xfId="8" applyBorder="1" applyAlignment="1">
      <alignment horizontal="center"/>
    </xf>
    <xf numFmtId="0" fontId="1" fillId="0" borderId="0" xfId="8" applyAlignment="1">
      <alignment horizontal="center"/>
    </xf>
    <xf numFmtId="0" fontId="20" fillId="6" borderId="4" xfId="7" applyFont="1" applyFill="1" applyBorder="1" applyAlignment="1">
      <alignment vertical="center" wrapText="1"/>
    </xf>
    <xf numFmtId="0" fontId="20" fillId="7" borderId="4" xfId="7" applyFont="1" applyFill="1" applyBorder="1" applyAlignment="1">
      <alignment vertical="center" wrapText="1"/>
    </xf>
    <xf numFmtId="0" fontId="20" fillId="8" borderId="4" xfId="7" applyFont="1" applyFill="1" applyBorder="1" applyAlignment="1">
      <alignment vertical="center" wrapText="1"/>
    </xf>
    <xf numFmtId="8" fontId="1" fillId="0" borderId="4" xfId="8" applyNumberFormat="1" applyBorder="1" applyAlignment="1">
      <alignment horizontal="center"/>
    </xf>
    <xf numFmtId="8" fontId="1" fillId="0" borderId="0" xfId="8" applyNumberFormat="1" applyAlignment="1">
      <alignment horizontal="center"/>
    </xf>
    <xf numFmtId="8" fontId="1" fillId="0" borderId="4" xfId="8" applyNumberFormat="1" applyBorder="1" applyAlignment="1">
      <alignment horizontal="left"/>
    </xf>
    <xf numFmtId="0" fontId="1" fillId="0" borderId="4" xfId="8" applyBorder="1" applyAlignment="1">
      <alignment horizontal="left"/>
    </xf>
    <xf numFmtId="44" fontId="1" fillId="0" borderId="0" xfId="1" applyFont="1"/>
    <xf numFmtId="44" fontId="1" fillId="0" borderId="0" xfId="8" applyNumberFormat="1"/>
    <xf numFmtId="44" fontId="4" fillId="0" borderId="0" xfId="1" applyFont="1" applyAlignment="1">
      <alignment horizontal="left"/>
    </xf>
    <xf numFmtId="0" fontId="1" fillId="0" borderId="0" xfId="5" applyFont="1" applyAlignment="1">
      <alignment horizontal="left"/>
    </xf>
    <xf numFmtId="44" fontId="1" fillId="0" borderId="0" xfId="1" applyFont="1" applyAlignment="1">
      <alignment horizontal="left"/>
    </xf>
    <xf numFmtId="44" fontId="8" fillId="0" borderId="0" xfId="1" applyFont="1" applyAlignment="1">
      <alignment horizontal="left"/>
    </xf>
    <xf numFmtId="8" fontId="8" fillId="0" borderId="0" xfId="4" applyNumberFormat="1" applyFont="1" applyAlignment="1">
      <alignment horizontal="left"/>
    </xf>
    <xf numFmtId="44" fontId="0" fillId="0" borderId="4" xfId="1" applyFont="1" applyFill="1" applyBorder="1"/>
    <xf numFmtId="8" fontId="3" fillId="0" borderId="0" xfId="1" applyNumberFormat="1" applyFont="1" applyAlignment="1">
      <alignment horizontal="left"/>
    </xf>
    <xf numFmtId="165" fontId="0" fillId="0" borderId="0" xfId="0" applyNumberFormat="1"/>
    <xf numFmtId="8" fontId="4" fillId="0" borderId="0" xfId="5" applyNumberFormat="1" applyAlignment="1">
      <alignment horizontal="left"/>
    </xf>
    <xf numFmtId="0" fontId="8" fillId="8" borderId="0" xfId="4" applyFont="1" applyFill="1" applyAlignment="1">
      <alignment horizontal="left"/>
    </xf>
    <xf numFmtId="8" fontId="1" fillId="0" borderId="0" xfId="1" applyNumberFormat="1" applyFont="1"/>
    <xf numFmtId="44" fontId="11" fillId="0" borderId="4" xfId="0" applyNumberFormat="1" applyFont="1" applyBorder="1" applyAlignment="1">
      <alignment horizontal="center" vertical="center"/>
    </xf>
    <xf numFmtId="44" fontId="11" fillId="0" borderId="4" xfId="1" applyFont="1" applyBorder="1" applyAlignment="1">
      <alignment horizontal="center" vertical="center"/>
    </xf>
    <xf numFmtId="169" fontId="8" fillId="0" borderId="2" xfId="0" applyNumberFormat="1" applyFont="1" applyBorder="1"/>
    <xf numFmtId="169" fontId="8" fillId="10" borderId="2" xfId="0" applyNumberFormat="1" applyFont="1" applyFill="1" applyBorder="1"/>
    <xf numFmtId="170" fontId="0" fillId="0" borderId="10" xfId="1" applyNumberFormat="1" applyFont="1" applyBorder="1"/>
    <xf numFmtId="170" fontId="0" fillId="10" borderId="10" xfId="1" applyNumberFormat="1" applyFont="1" applyFill="1" applyBorder="1"/>
    <xf numFmtId="44" fontId="0" fillId="10" borderId="10" xfId="1" applyFont="1" applyFill="1" applyBorder="1"/>
    <xf numFmtId="0" fontId="8" fillId="0" borderId="13" xfId="0" applyFont="1" applyBorder="1" applyAlignment="1">
      <alignment horizontal="center"/>
    </xf>
    <xf numFmtId="0" fontId="9" fillId="0" borderId="13" xfId="0" applyFont="1" applyBorder="1"/>
    <xf numFmtId="0" fontId="14" fillId="13" borderId="14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 wrapText="1"/>
    </xf>
    <xf numFmtId="44" fontId="13" fillId="15" borderId="4" xfId="0" applyNumberFormat="1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/>
    </xf>
    <xf numFmtId="0" fontId="25" fillId="15" borderId="4" xfId="0" applyFont="1" applyFill="1" applyBorder="1" applyAlignment="1">
      <alignment horizontal="center" vertical="center"/>
    </xf>
    <xf numFmtId="44" fontId="24" fillId="15" borderId="4" xfId="0" applyNumberFormat="1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 wrapText="1"/>
    </xf>
    <xf numFmtId="44" fontId="13" fillId="11" borderId="4" xfId="0" applyNumberFormat="1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/>
    </xf>
    <xf numFmtId="0" fontId="26" fillId="15" borderId="0" xfId="0" applyFont="1" applyFill="1" applyBorder="1" applyAlignment="1">
      <alignment horizontal="center" vertical="center"/>
    </xf>
    <xf numFmtId="9" fontId="24" fillId="0" borderId="4" xfId="2" applyFont="1" applyBorder="1" applyAlignment="1">
      <alignment horizontal="center" vertical="center"/>
    </xf>
    <xf numFmtId="10" fontId="24" fillId="0" borderId="4" xfId="2" applyNumberFormat="1" applyFont="1" applyBorder="1" applyAlignment="1">
      <alignment horizontal="center" vertical="center"/>
    </xf>
  </cellXfs>
  <cellStyles count="9">
    <cellStyle name="Moneda" xfId="1" builtinId="4"/>
    <cellStyle name="Normal" xfId="0" builtinId="0"/>
    <cellStyle name="Normal 2" xfId="3" xr:uid="{8636CDB4-E18C-4D42-87E5-89123EFD6A79}"/>
    <cellStyle name="Normal 2 2" xfId="5" xr:uid="{AFA887B5-9D54-47E0-A9CD-E7B1FA67C469}"/>
    <cellStyle name="Normal 3" xfId="4" xr:uid="{3C76B649-AD93-4EB7-92AF-ECB2BBB6A5BE}"/>
    <cellStyle name="Normal 4" xfId="6" xr:uid="{16746046-88A9-4A61-87D1-0C8F12EDEDDA}"/>
    <cellStyle name="Normal 5" xfId="7" xr:uid="{BFC8F650-34D6-40F5-BB3F-926D5B8AC3D7}"/>
    <cellStyle name="Normal 6" xfId="8" xr:uid="{70098147-3CB6-4069-A3DB-97ABEE09C550}"/>
    <cellStyle name="Porcentaje" xfId="2" builtinId="5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colors>
    <mruColors>
      <color rgb="FFA3EA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CA59-4C06-4DBE-A0E7-AF9D7E9CE01F}">
  <dimension ref="A1:N31"/>
  <sheetViews>
    <sheetView tabSelected="1" topLeftCell="A5" workbookViewId="0">
      <selection activeCell="D32" sqref="D32"/>
    </sheetView>
  </sheetViews>
  <sheetFormatPr baseColWidth="10" defaultRowHeight="13.2" x14ac:dyDescent="0.25"/>
  <cols>
    <col min="1" max="1" width="18.88671875" customWidth="1"/>
    <col min="2" max="2" width="17" style="14" customWidth="1"/>
    <col min="3" max="8" width="17.44140625" style="14" customWidth="1"/>
    <col min="9" max="9" width="19.21875" style="14" customWidth="1"/>
    <col min="10" max="10" width="18" style="14" customWidth="1"/>
    <col min="11" max="13" width="15.33203125" style="14" customWidth="1"/>
    <col min="14" max="14" width="16.77734375" style="14" customWidth="1"/>
  </cols>
  <sheetData>
    <row r="1" spans="1:14" ht="19.2" customHeight="1" x14ac:dyDescent="0.25">
      <c r="A1" s="27" t="s">
        <v>210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  <c r="H1" s="17" t="s">
        <v>218</v>
      </c>
      <c r="I1" s="17" t="s">
        <v>219</v>
      </c>
      <c r="J1" s="17" t="s">
        <v>220</v>
      </c>
      <c r="K1" s="17" t="s">
        <v>221</v>
      </c>
      <c r="L1" s="17" t="s">
        <v>222</v>
      </c>
      <c r="M1" s="17" t="s">
        <v>223</v>
      </c>
      <c r="N1" s="17" t="s">
        <v>225</v>
      </c>
    </row>
    <row r="2" spans="1:14" ht="18" customHeight="1" x14ac:dyDescent="0.25">
      <c r="A2" s="51" t="s">
        <v>24</v>
      </c>
      <c r="B2" s="21">
        <v>1759610.2399999998</v>
      </c>
      <c r="C2" s="21">
        <v>1031773.4299999999</v>
      </c>
      <c r="D2" s="21">
        <v>1510851.5099999998</v>
      </c>
      <c r="E2" s="21">
        <v>675669.69</v>
      </c>
      <c r="F2" s="21">
        <v>3877.12</v>
      </c>
      <c r="G2" s="19"/>
      <c r="H2" s="19"/>
      <c r="I2" s="19"/>
      <c r="J2" s="19"/>
      <c r="K2" s="19"/>
      <c r="L2" s="19"/>
      <c r="M2" s="19"/>
      <c r="N2" s="50">
        <f t="shared" ref="N2:N7" si="0">SUM(B2:M2)</f>
        <v>4981781.9899999993</v>
      </c>
    </row>
    <row r="3" spans="1:14" ht="18" customHeight="1" x14ac:dyDescent="0.25">
      <c r="A3" s="51" t="s">
        <v>18</v>
      </c>
      <c r="B3" s="21">
        <v>94927.06</v>
      </c>
      <c r="C3" s="21">
        <v>1183044.6227000002</v>
      </c>
      <c r="D3" s="21">
        <v>789150.24440000008</v>
      </c>
      <c r="E3" s="21">
        <v>644857.00449199998</v>
      </c>
      <c r="F3" s="21">
        <v>42531.61</v>
      </c>
      <c r="G3" s="19"/>
      <c r="H3" s="19"/>
      <c r="I3" s="19"/>
      <c r="J3" s="19"/>
      <c r="K3" s="19"/>
      <c r="L3" s="19"/>
      <c r="M3" s="19"/>
      <c r="N3" s="50">
        <f t="shared" si="0"/>
        <v>2754510.5415920005</v>
      </c>
    </row>
    <row r="4" spans="1:14" ht="18" customHeight="1" x14ac:dyDescent="0.25">
      <c r="A4" s="51" t="s">
        <v>50</v>
      </c>
      <c r="B4" s="21">
        <v>672141.68160000001</v>
      </c>
      <c r="C4" s="21">
        <v>115487.71389999999</v>
      </c>
      <c r="D4" s="21">
        <v>529974.98459999997</v>
      </c>
      <c r="E4" s="21">
        <v>43494.83</v>
      </c>
      <c r="F4" s="21">
        <v>51126.195238</v>
      </c>
      <c r="G4" s="19"/>
      <c r="H4" s="19"/>
      <c r="I4" s="19"/>
      <c r="J4" s="19"/>
      <c r="K4" s="19"/>
      <c r="L4" s="19"/>
      <c r="M4" s="19"/>
      <c r="N4" s="50">
        <f t="shared" si="0"/>
        <v>1412225.405338</v>
      </c>
    </row>
    <row r="5" spans="1:14" ht="18" customHeight="1" x14ac:dyDescent="0.25">
      <c r="A5" s="51" t="s">
        <v>33</v>
      </c>
      <c r="B5" s="21">
        <v>585963.89</v>
      </c>
      <c r="C5" s="21">
        <v>97086.59</v>
      </c>
      <c r="D5" s="21">
        <v>368420.85</v>
      </c>
      <c r="E5" s="21">
        <v>178360.14</v>
      </c>
      <c r="F5" s="21">
        <v>253025.72000000003</v>
      </c>
      <c r="G5" s="19"/>
      <c r="H5" s="19"/>
      <c r="I5" s="19"/>
      <c r="J5" s="19"/>
      <c r="K5" s="19"/>
      <c r="L5" s="19"/>
      <c r="M5" s="19"/>
      <c r="N5" s="50">
        <f t="shared" si="0"/>
        <v>1482857.1900000002</v>
      </c>
    </row>
    <row r="6" spans="1:14" ht="18" customHeight="1" x14ac:dyDescent="0.25">
      <c r="A6" s="51" t="s">
        <v>74</v>
      </c>
      <c r="B6" s="21">
        <v>3900</v>
      </c>
      <c r="C6" s="21">
        <v>12000</v>
      </c>
      <c r="D6" s="21">
        <v>67881.717000000004</v>
      </c>
      <c r="E6" s="21">
        <v>217248.35</v>
      </c>
      <c r="F6" s="21">
        <v>103280.53</v>
      </c>
      <c r="G6" s="19"/>
      <c r="H6" s="19"/>
      <c r="I6" s="19"/>
      <c r="J6" s="19"/>
      <c r="K6" s="19"/>
      <c r="L6" s="19"/>
      <c r="M6" s="19"/>
      <c r="N6" s="50">
        <f t="shared" si="0"/>
        <v>404310.59700000007</v>
      </c>
    </row>
    <row r="7" spans="1:14" ht="18" customHeight="1" x14ac:dyDescent="0.25">
      <c r="A7" s="51" t="s">
        <v>316</v>
      </c>
      <c r="B7" s="21">
        <v>0</v>
      </c>
      <c r="C7" s="21">
        <v>0</v>
      </c>
      <c r="D7" s="21">
        <v>0</v>
      </c>
      <c r="E7" s="21">
        <v>32533.559999999998</v>
      </c>
      <c r="F7" s="21">
        <v>5832.61</v>
      </c>
      <c r="G7" s="19"/>
      <c r="H7" s="19"/>
      <c r="I7" s="19"/>
      <c r="J7" s="19"/>
      <c r="K7" s="19"/>
      <c r="L7" s="19"/>
      <c r="M7" s="19"/>
      <c r="N7" s="50">
        <f t="shared" si="0"/>
        <v>38366.17</v>
      </c>
    </row>
    <row r="8" spans="1:14" ht="18" customHeight="1" x14ac:dyDescent="0.25">
      <c r="A8" s="18"/>
      <c r="B8" s="20">
        <f>SUM(B2:B7)</f>
        <v>3116542.8715999997</v>
      </c>
      <c r="C8" s="20">
        <f>SUM(C2:C7)</f>
        <v>2439392.3565999996</v>
      </c>
      <c r="D8" s="20">
        <f>SUM(D2:D7)</f>
        <v>3266279.3060000003</v>
      </c>
      <c r="E8" s="20">
        <f>SUM(E2:E7)</f>
        <v>1792163.574492</v>
      </c>
      <c r="F8" s="20">
        <f>SUM(F2:F7)</f>
        <v>459673.78523799998</v>
      </c>
      <c r="G8" s="20">
        <f t="shared" ref="G8:L8" si="1">SUM(G2:G7)</f>
        <v>0</v>
      </c>
      <c r="H8" s="20">
        <f t="shared" si="1"/>
        <v>0</v>
      </c>
      <c r="I8" s="20">
        <f t="shared" si="1"/>
        <v>0</v>
      </c>
      <c r="J8" s="20">
        <f t="shared" si="1"/>
        <v>0</v>
      </c>
      <c r="K8" s="20">
        <f t="shared" si="1"/>
        <v>0</v>
      </c>
      <c r="L8" s="20">
        <f t="shared" si="1"/>
        <v>0</v>
      </c>
      <c r="M8" s="20">
        <f>SUM(M2:M7)</f>
        <v>0</v>
      </c>
      <c r="N8" s="20">
        <f>SUM(N2:N7)</f>
        <v>11074051.893930001</v>
      </c>
    </row>
    <row r="9" spans="1:14" ht="20.399999999999999" customHeight="1" x14ac:dyDescent="0.25">
      <c r="A9" s="27" t="s">
        <v>211</v>
      </c>
      <c r="B9" s="17" t="s">
        <v>212</v>
      </c>
      <c r="C9" s="17" t="s">
        <v>213</v>
      </c>
      <c r="D9" s="17" t="s">
        <v>214</v>
      </c>
      <c r="E9" s="17" t="s">
        <v>215</v>
      </c>
      <c r="F9" s="17" t="s">
        <v>216</v>
      </c>
      <c r="G9" s="17" t="s">
        <v>217</v>
      </c>
      <c r="H9" s="17" t="s">
        <v>218</v>
      </c>
      <c r="I9" s="17" t="s">
        <v>219</v>
      </c>
      <c r="J9" s="17" t="s">
        <v>220</v>
      </c>
      <c r="K9" s="17" t="s">
        <v>221</v>
      </c>
      <c r="L9" s="17" t="s">
        <v>222</v>
      </c>
      <c r="M9" s="17" t="s">
        <v>223</v>
      </c>
      <c r="N9" s="17" t="s">
        <v>225</v>
      </c>
    </row>
    <row r="10" spans="1:14" ht="19.2" customHeight="1" x14ac:dyDescent="0.25">
      <c r="A10" s="51" t="s">
        <v>224</v>
      </c>
      <c r="B10" s="21">
        <v>418711.75</v>
      </c>
      <c r="C10" s="21">
        <v>431563.95</v>
      </c>
      <c r="D10" s="21">
        <v>408072.15</v>
      </c>
      <c r="E10" s="21">
        <v>194487.44</v>
      </c>
      <c r="F10" s="21">
        <v>193901.46</v>
      </c>
      <c r="G10" s="21"/>
      <c r="H10" s="21"/>
      <c r="I10" s="21"/>
      <c r="J10" s="21"/>
      <c r="K10" s="21"/>
      <c r="L10" s="21"/>
      <c r="M10" s="21"/>
      <c r="N10" s="52">
        <f>SUM(B10:M10)</f>
        <v>1646736.75</v>
      </c>
    </row>
    <row r="11" spans="1:14" ht="27.6" customHeight="1" x14ac:dyDescent="0.25">
      <c r="A11" s="113" t="s">
        <v>225</v>
      </c>
      <c r="B11" s="114">
        <f t="shared" ref="B11:N11" si="2">+B8+B10</f>
        <v>3535254.6215999997</v>
      </c>
      <c r="C11" s="114">
        <f t="shared" si="2"/>
        <v>2870956.3065999998</v>
      </c>
      <c r="D11" s="114">
        <f t="shared" si="2"/>
        <v>3674351.4560000002</v>
      </c>
      <c r="E11" s="114">
        <f>+E8+E10</f>
        <v>1986651.014492</v>
      </c>
      <c r="F11" s="114">
        <f t="shared" si="2"/>
        <v>653575.24523799994</v>
      </c>
      <c r="G11" s="114">
        <f t="shared" si="2"/>
        <v>0</v>
      </c>
      <c r="H11" s="114">
        <f t="shared" si="2"/>
        <v>0</v>
      </c>
      <c r="I11" s="114">
        <f t="shared" si="2"/>
        <v>0</v>
      </c>
      <c r="J11" s="114">
        <f t="shared" si="2"/>
        <v>0</v>
      </c>
      <c r="K11" s="114">
        <f t="shared" si="2"/>
        <v>0</v>
      </c>
      <c r="L11" s="114">
        <f t="shared" si="2"/>
        <v>0</v>
      </c>
      <c r="M11" s="114">
        <f t="shared" si="2"/>
        <v>0</v>
      </c>
      <c r="N11" s="114">
        <f t="shared" si="2"/>
        <v>12720788.643930001</v>
      </c>
    </row>
    <row r="13" spans="1:14" ht="39" customHeight="1" x14ac:dyDescent="0.25">
      <c r="A13" s="202" t="s">
        <v>369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53"/>
    </row>
    <row r="14" spans="1:14" ht="31.2" customHeight="1" x14ac:dyDescent="0.25">
      <c r="A14" s="198" t="s">
        <v>226</v>
      </c>
      <c r="B14" s="192" t="s">
        <v>428</v>
      </c>
      <c r="C14" s="191" t="s">
        <v>370</v>
      </c>
      <c r="D14" s="192" t="s">
        <v>421</v>
      </c>
      <c r="E14" s="192" t="s">
        <v>420</v>
      </c>
      <c r="F14" s="193" t="s">
        <v>422</v>
      </c>
      <c r="G14" s="194" t="s">
        <v>429</v>
      </c>
      <c r="H14" s="195" t="s">
        <v>423</v>
      </c>
      <c r="I14" s="195" t="s">
        <v>425</v>
      </c>
      <c r="J14" s="195" t="s">
        <v>426</v>
      </c>
      <c r="K14" s="200" t="s">
        <v>227</v>
      </c>
      <c r="L14" s="200" t="s">
        <v>424</v>
      </c>
      <c r="M14" s="200" t="s">
        <v>427</v>
      </c>
      <c r="N14" s="53"/>
    </row>
    <row r="15" spans="1:14" ht="21" customHeight="1" x14ac:dyDescent="0.25">
      <c r="A15" s="28" t="s">
        <v>212</v>
      </c>
      <c r="B15" s="29">
        <f>+B8</f>
        <v>3116542.8715999997</v>
      </c>
      <c r="C15" s="29">
        <v>1216280.9748880002</v>
      </c>
      <c r="D15" s="29">
        <f>+B15-C15</f>
        <v>1900261.8967119996</v>
      </c>
      <c r="E15" s="29">
        <f>1660050.33-98085.65</f>
        <v>1561964.6800000002</v>
      </c>
      <c r="F15" s="29">
        <f>+D15-E15</f>
        <v>338297.21671199938</v>
      </c>
      <c r="G15" s="29">
        <f>+B10</f>
        <v>418711.75</v>
      </c>
      <c r="H15" s="29">
        <v>76766.16</v>
      </c>
      <c r="I15" s="29">
        <v>98085.65</v>
      </c>
      <c r="J15" s="29">
        <f>+H15-I15</f>
        <v>-21319.489999999991</v>
      </c>
      <c r="K15" s="29">
        <f>+B15+G15</f>
        <v>3535254.6215999997</v>
      </c>
      <c r="L15" s="29">
        <f>+D15+H15</f>
        <v>1977028.0567119995</v>
      </c>
      <c r="M15" s="29">
        <f>+F15+J15</f>
        <v>316977.72671199939</v>
      </c>
      <c r="N15" s="53"/>
    </row>
    <row r="16" spans="1:14" ht="21" customHeight="1" x14ac:dyDescent="0.25">
      <c r="A16" s="28" t="s">
        <v>213</v>
      </c>
      <c r="B16" s="29">
        <f>+C8</f>
        <v>2439392.3565999996</v>
      </c>
      <c r="C16" s="29">
        <v>1113152.6227819999</v>
      </c>
      <c r="D16" s="29">
        <f t="shared" ref="D16:D26" si="3">+B16-C16</f>
        <v>1326239.7338179997</v>
      </c>
      <c r="E16" s="182">
        <f>1259904.05-104434.14</f>
        <v>1155469.9100000001</v>
      </c>
      <c r="F16" s="29">
        <f>+D16-E16</f>
        <v>170769.82381799957</v>
      </c>
      <c r="G16" s="29">
        <f>+C10</f>
        <v>431563.95</v>
      </c>
      <c r="H16" s="29">
        <v>78871.490000000005</v>
      </c>
      <c r="I16" s="29">
        <v>104434.14000000001</v>
      </c>
      <c r="J16" s="29">
        <f t="shared" ref="J16:J26" si="4">+H16-I16</f>
        <v>-25562.650000000009</v>
      </c>
      <c r="K16" s="29">
        <f>+B16+G16</f>
        <v>2870956.3065999998</v>
      </c>
      <c r="L16" s="29">
        <f>+D16+H16</f>
        <v>1405111.2238179997</v>
      </c>
      <c r="M16" s="29">
        <f t="shared" ref="M16:M26" si="5">+F16+J16</f>
        <v>145207.17381799954</v>
      </c>
      <c r="N16" s="53"/>
    </row>
    <row r="17" spans="1:14" ht="21" customHeight="1" x14ac:dyDescent="0.25">
      <c r="A17" s="28" t="s">
        <v>214</v>
      </c>
      <c r="B17" s="29">
        <f>+D8</f>
        <v>3266279.3060000003</v>
      </c>
      <c r="C17" s="29">
        <v>1608971.6615169998</v>
      </c>
      <c r="D17" s="29">
        <f t="shared" si="3"/>
        <v>1657307.6444830005</v>
      </c>
      <c r="E17" s="16">
        <f>1350532.52-86532.88</f>
        <v>1263999.6400000001</v>
      </c>
      <c r="F17" s="29">
        <f>+D17-E17</f>
        <v>393308.00448300038</v>
      </c>
      <c r="G17" s="29">
        <f>+D10</f>
        <v>408072.15</v>
      </c>
      <c r="H17" s="16">
        <v>72828.240000000005</v>
      </c>
      <c r="I17" s="29">
        <v>86532.88</v>
      </c>
      <c r="J17" s="29">
        <f t="shared" si="4"/>
        <v>-13704.64</v>
      </c>
      <c r="K17" s="29">
        <f>+B17+G17</f>
        <v>3674351.4560000002</v>
      </c>
      <c r="L17" s="29">
        <f>+D17+H17</f>
        <v>1730135.8844830005</v>
      </c>
      <c r="M17" s="29">
        <f t="shared" si="5"/>
        <v>379603.36448300036</v>
      </c>
      <c r="N17" s="53"/>
    </row>
    <row r="18" spans="1:14" ht="21" customHeight="1" x14ac:dyDescent="0.25">
      <c r="A18" s="28" t="s">
        <v>215</v>
      </c>
      <c r="B18" s="29">
        <f>+E8</f>
        <v>1792163.574492</v>
      </c>
      <c r="C18" s="29">
        <v>788704.19898799993</v>
      </c>
      <c r="D18" s="29">
        <f t="shared" si="3"/>
        <v>1003459.3755040001</v>
      </c>
      <c r="E18" s="16">
        <f>1219130.53-74375.32</f>
        <v>1144755.21</v>
      </c>
      <c r="F18" s="29">
        <f>+D18-E18</f>
        <v>-141295.83449599985</v>
      </c>
      <c r="G18" s="29">
        <f>+E10</f>
        <v>194487.44</v>
      </c>
      <c r="H18" s="16">
        <v>37490.92</v>
      </c>
      <c r="I18" s="29">
        <v>74375.320000000007</v>
      </c>
      <c r="J18" s="29">
        <f t="shared" si="4"/>
        <v>-36884.400000000009</v>
      </c>
      <c r="K18" s="29">
        <f>+B18+G18</f>
        <v>1986651.014492</v>
      </c>
      <c r="L18" s="29">
        <f>+D18+H18</f>
        <v>1040950.2955040002</v>
      </c>
      <c r="M18" s="29">
        <f t="shared" si="5"/>
        <v>-178180.23449599987</v>
      </c>
      <c r="N18" s="53"/>
    </row>
    <row r="19" spans="1:14" ht="21" customHeight="1" x14ac:dyDescent="0.25">
      <c r="A19" s="28" t="s">
        <v>216</v>
      </c>
      <c r="B19" s="29">
        <f>+F8</f>
        <v>459673.78523799998</v>
      </c>
      <c r="C19" s="29">
        <v>291171.06359999999</v>
      </c>
      <c r="D19" s="29">
        <f t="shared" si="3"/>
        <v>168502.72163799999</v>
      </c>
      <c r="E19" s="183">
        <f>1266003.31-66678.87</f>
        <v>1199324.44</v>
      </c>
      <c r="F19" s="29">
        <f>+D19-E19</f>
        <v>-1030821.718362</v>
      </c>
      <c r="G19" s="29">
        <v>193901.46</v>
      </c>
      <c r="H19" s="16">
        <v>39887.94</v>
      </c>
      <c r="I19" s="29">
        <v>66678.87</v>
      </c>
      <c r="J19" s="29">
        <f t="shared" si="4"/>
        <v>-26790.929999999993</v>
      </c>
      <c r="K19" s="29">
        <f>+B19+G19</f>
        <v>653575.24523799994</v>
      </c>
      <c r="L19" s="29">
        <f>+D19+H19</f>
        <v>208390.66163799999</v>
      </c>
      <c r="M19" s="29">
        <f t="shared" si="5"/>
        <v>-1057612.648362</v>
      </c>
      <c r="N19" s="53"/>
    </row>
    <row r="20" spans="1:14" ht="21" customHeight="1" x14ac:dyDescent="0.25">
      <c r="A20" s="28" t="s">
        <v>217</v>
      </c>
      <c r="B20" s="15"/>
      <c r="C20" s="15"/>
      <c r="D20" s="29">
        <f t="shared" si="3"/>
        <v>0</v>
      </c>
      <c r="E20" s="15"/>
      <c r="F20" s="29">
        <f>+D20-E20</f>
        <v>0</v>
      </c>
      <c r="G20" s="15"/>
      <c r="H20" s="15"/>
      <c r="I20" s="29"/>
      <c r="J20" s="29">
        <f t="shared" si="4"/>
        <v>0</v>
      </c>
      <c r="K20" s="29">
        <f>+B20+G20</f>
        <v>0</v>
      </c>
      <c r="L20" s="29">
        <f>+D20+H20</f>
        <v>0</v>
      </c>
      <c r="M20" s="29">
        <f t="shared" si="5"/>
        <v>0</v>
      </c>
      <c r="N20" s="53"/>
    </row>
    <row r="21" spans="1:14" ht="21" customHeight="1" x14ac:dyDescent="0.25">
      <c r="A21" s="28" t="s">
        <v>218</v>
      </c>
      <c r="B21" s="15"/>
      <c r="C21" s="15"/>
      <c r="D21" s="29">
        <f t="shared" si="3"/>
        <v>0</v>
      </c>
      <c r="E21" s="15"/>
      <c r="F21" s="29">
        <f>+D21-E21</f>
        <v>0</v>
      </c>
      <c r="G21" s="15"/>
      <c r="H21" s="15"/>
      <c r="I21" s="29"/>
      <c r="J21" s="29">
        <f t="shared" si="4"/>
        <v>0</v>
      </c>
      <c r="K21" s="29">
        <f>+B21+G21</f>
        <v>0</v>
      </c>
      <c r="L21" s="29">
        <f>+D21+H21</f>
        <v>0</v>
      </c>
      <c r="M21" s="29">
        <f t="shared" si="5"/>
        <v>0</v>
      </c>
      <c r="N21" s="53"/>
    </row>
    <row r="22" spans="1:14" ht="21" customHeight="1" x14ac:dyDescent="0.25">
      <c r="A22" s="28" t="s">
        <v>219</v>
      </c>
      <c r="B22" s="15"/>
      <c r="C22" s="15"/>
      <c r="D22" s="29">
        <f t="shared" si="3"/>
        <v>0</v>
      </c>
      <c r="E22" s="15"/>
      <c r="F22" s="29">
        <f>+D22-E22</f>
        <v>0</v>
      </c>
      <c r="G22" s="15"/>
      <c r="H22" s="15"/>
      <c r="I22" s="29"/>
      <c r="J22" s="29">
        <f t="shared" si="4"/>
        <v>0</v>
      </c>
      <c r="K22" s="29">
        <f>+B22+G22</f>
        <v>0</v>
      </c>
      <c r="L22" s="29">
        <f>+D22+H22</f>
        <v>0</v>
      </c>
      <c r="M22" s="29">
        <f t="shared" si="5"/>
        <v>0</v>
      </c>
      <c r="N22" s="53"/>
    </row>
    <row r="23" spans="1:14" ht="21" customHeight="1" x14ac:dyDescent="0.25">
      <c r="A23" s="28" t="s">
        <v>220</v>
      </c>
      <c r="B23" s="15"/>
      <c r="C23" s="15"/>
      <c r="D23" s="29">
        <f t="shared" si="3"/>
        <v>0</v>
      </c>
      <c r="E23" s="15"/>
      <c r="F23" s="29">
        <f>+D23-E23</f>
        <v>0</v>
      </c>
      <c r="G23" s="15"/>
      <c r="H23" s="15"/>
      <c r="I23" s="29"/>
      <c r="J23" s="29">
        <f t="shared" si="4"/>
        <v>0</v>
      </c>
      <c r="K23" s="29">
        <f>+B23+G23</f>
        <v>0</v>
      </c>
      <c r="L23" s="29">
        <f>+D23+H23</f>
        <v>0</v>
      </c>
      <c r="M23" s="29">
        <f t="shared" si="5"/>
        <v>0</v>
      </c>
      <c r="N23" s="53"/>
    </row>
    <row r="24" spans="1:14" ht="21" customHeight="1" x14ac:dyDescent="0.25">
      <c r="A24" s="28" t="s">
        <v>221</v>
      </c>
      <c r="B24" s="15"/>
      <c r="C24" s="15"/>
      <c r="D24" s="29">
        <f t="shared" si="3"/>
        <v>0</v>
      </c>
      <c r="E24" s="15"/>
      <c r="F24" s="29">
        <f>+D24-E24</f>
        <v>0</v>
      </c>
      <c r="G24" s="15"/>
      <c r="H24" s="15"/>
      <c r="I24" s="29"/>
      <c r="J24" s="29">
        <f t="shared" si="4"/>
        <v>0</v>
      </c>
      <c r="K24" s="29">
        <f>+B24+G24</f>
        <v>0</v>
      </c>
      <c r="L24" s="29">
        <f>+D24+H24</f>
        <v>0</v>
      </c>
      <c r="M24" s="29">
        <f t="shared" si="5"/>
        <v>0</v>
      </c>
      <c r="N24" s="53"/>
    </row>
    <row r="25" spans="1:14" ht="21" customHeight="1" x14ac:dyDescent="0.25">
      <c r="A25" s="28" t="s">
        <v>222</v>
      </c>
      <c r="B25" s="15"/>
      <c r="C25" s="15"/>
      <c r="D25" s="29">
        <f t="shared" si="3"/>
        <v>0</v>
      </c>
      <c r="E25" s="15"/>
      <c r="F25" s="29">
        <f>+D25-E25</f>
        <v>0</v>
      </c>
      <c r="G25" s="15"/>
      <c r="H25" s="15"/>
      <c r="I25" s="29"/>
      <c r="J25" s="29">
        <f t="shared" si="4"/>
        <v>0</v>
      </c>
      <c r="K25" s="29">
        <f>+B25+G25</f>
        <v>0</v>
      </c>
      <c r="L25" s="29">
        <f>+D25+H25</f>
        <v>0</v>
      </c>
      <c r="M25" s="29">
        <f t="shared" si="5"/>
        <v>0</v>
      </c>
      <c r="N25" s="53"/>
    </row>
    <row r="26" spans="1:14" ht="21" customHeight="1" x14ac:dyDescent="0.25">
      <c r="A26" s="28" t="s">
        <v>223</v>
      </c>
      <c r="B26" s="15"/>
      <c r="C26" s="15"/>
      <c r="D26" s="29">
        <f t="shared" si="3"/>
        <v>0</v>
      </c>
      <c r="E26" s="15"/>
      <c r="F26" s="29">
        <f>+D26-E26</f>
        <v>0</v>
      </c>
      <c r="G26" s="15"/>
      <c r="H26" s="15"/>
      <c r="I26" s="29"/>
      <c r="J26" s="29">
        <f t="shared" si="4"/>
        <v>0</v>
      </c>
      <c r="K26" s="29">
        <f>+B26+G26</f>
        <v>0</v>
      </c>
      <c r="L26" s="29">
        <f>+D26+H26</f>
        <v>0</v>
      </c>
      <c r="M26" s="29">
        <f t="shared" si="5"/>
        <v>0</v>
      </c>
      <c r="N26" s="53"/>
    </row>
    <row r="27" spans="1:14" ht="21" customHeight="1" x14ac:dyDescent="0.25">
      <c r="A27" s="197" t="s">
        <v>225</v>
      </c>
      <c r="B27" s="196">
        <f>SUM(B15:B26)</f>
        <v>11074051.893929999</v>
      </c>
      <c r="C27" s="196">
        <f t="shared" ref="C27" si="6">SUM(C15:C26)</f>
        <v>5018280.5217749998</v>
      </c>
      <c r="D27" s="196">
        <f>SUM(D15:D26)</f>
        <v>6055771.3721549995</v>
      </c>
      <c r="E27" s="196">
        <f>SUM(E15:E26)</f>
        <v>6325513.8800000008</v>
      </c>
      <c r="F27" s="199">
        <f>SUM(F15:F26)</f>
        <v>-269742.50784500048</v>
      </c>
      <c r="G27" s="196">
        <f>SUM(G15:G26)</f>
        <v>1646736.75</v>
      </c>
      <c r="H27" s="196">
        <f>SUM(H15:H26)</f>
        <v>305844.75</v>
      </c>
      <c r="I27" s="196">
        <f t="shared" ref="I27:J27" si="7">SUM(I15:I26)</f>
        <v>430106.86000000004</v>
      </c>
      <c r="J27" s="196">
        <f t="shared" si="7"/>
        <v>-124262.11</v>
      </c>
      <c r="K27" s="201">
        <f>SUM(K15:K26)</f>
        <v>12720788.643929999</v>
      </c>
      <c r="L27" s="201">
        <f>SUM(L15:L26)</f>
        <v>6361616.1221549995</v>
      </c>
      <c r="M27" s="201">
        <f>SUM(M15:M26)</f>
        <v>-394004.61784500058</v>
      </c>
      <c r="N27" s="53"/>
    </row>
    <row r="28" spans="1:14" ht="21" customHeight="1" x14ac:dyDescent="0.25">
      <c r="A28" s="13"/>
      <c r="B28" s="29"/>
      <c r="C28" s="45">
        <f>+C27/B27</f>
        <v>0.45315667380298813</v>
      </c>
      <c r="D28" s="45">
        <f>+D27/B27</f>
        <v>0.54684332619701181</v>
      </c>
      <c r="E28" s="153">
        <f>+E27/B27</f>
        <v>0.57120139408658488</v>
      </c>
      <c r="F28" s="204">
        <f>+F27/B27</f>
        <v>-2.4358067889572919E-2</v>
      </c>
      <c r="G28" s="15"/>
      <c r="H28" s="153">
        <f>+H27/G27</f>
        <v>0.18572777342826655</v>
      </c>
      <c r="I28" s="153">
        <f>+I27/G27</f>
        <v>0.2611873816504065</v>
      </c>
      <c r="J28" s="205">
        <f>+J27/G27</f>
        <v>-7.5459608222139943E-2</v>
      </c>
      <c r="K28" s="45"/>
      <c r="L28" s="45">
        <f>+L27/K27</f>
        <v>0.50009604751908077</v>
      </c>
      <c r="M28" s="205">
        <f>+M27/K27</f>
        <v>-3.0973285452156964E-2</v>
      </c>
      <c r="N28" s="53"/>
    </row>
    <row r="29" spans="1:14" x14ac:dyDescent="0.25">
      <c r="N29" s="53"/>
    </row>
    <row r="30" spans="1:14" x14ac:dyDescent="0.25">
      <c r="H30" s="52"/>
      <c r="J30" s="52"/>
    </row>
    <row r="31" spans="1:14" x14ac:dyDescent="0.25">
      <c r="H31" s="52"/>
    </row>
  </sheetData>
  <mergeCells count="1">
    <mergeCell ref="A13:M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615D-01B1-4527-B2C7-5A2E6E109273}">
  <sheetPr>
    <outlinePr summaryBelow="0" summaryRight="0"/>
  </sheetPr>
  <dimension ref="A1:N57"/>
  <sheetViews>
    <sheetView topLeftCell="A14" zoomScale="85" zoomScaleNormal="85" workbookViewId="0">
      <selection activeCell="B29" sqref="B29"/>
    </sheetView>
  </sheetViews>
  <sheetFormatPr baseColWidth="10" defaultColWidth="12.6640625" defaultRowHeight="15.75" customHeight="1" x14ac:dyDescent="0.25"/>
  <cols>
    <col min="1" max="1" width="29.44140625" customWidth="1"/>
    <col min="2" max="2" width="14" bestFit="1" customWidth="1"/>
    <col min="3" max="3" width="12.77734375" bestFit="1" customWidth="1"/>
    <col min="4" max="4" width="15.21875" bestFit="1" customWidth="1"/>
    <col min="5" max="5" width="17.6640625" bestFit="1" customWidth="1"/>
    <col min="6" max="6" width="14.44140625" customWidth="1"/>
    <col min="7" max="7" width="18.33203125" customWidth="1"/>
    <col min="8" max="8" width="40.33203125" bestFit="1" customWidth="1"/>
    <col min="9" max="9" width="14" bestFit="1" customWidth="1"/>
    <col min="10" max="10" width="14" customWidth="1"/>
    <col min="11" max="13" width="17.109375" customWidth="1"/>
    <col min="14" max="14" width="15.33203125" customWidth="1"/>
  </cols>
  <sheetData>
    <row r="1" spans="1:14" ht="15.75" customHeight="1" x14ac:dyDescent="0.25">
      <c r="A1" s="122">
        <v>46023</v>
      </c>
    </row>
    <row r="2" spans="1:14" ht="15.6" x14ac:dyDescent="0.3">
      <c r="A2" s="125" t="s">
        <v>139</v>
      </c>
      <c r="B2" s="126">
        <v>17.6768</v>
      </c>
      <c r="D2" s="136" t="s">
        <v>367</v>
      </c>
      <c r="E2" s="137">
        <v>770000</v>
      </c>
      <c r="H2" s="24" t="s">
        <v>234</v>
      </c>
      <c r="I2" s="24" t="s">
        <v>212</v>
      </c>
      <c r="J2" s="24" t="s">
        <v>213</v>
      </c>
      <c r="K2" s="24" t="s">
        <v>214</v>
      </c>
      <c r="L2" s="69" t="s">
        <v>215</v>
      </c>
      <c r="M2" s="69" t="s">
        <v>216</v>
      </c>
      <c r="N2" s="69" t="s">
        <v>225</v>
      </c>
    </row>
    <row r="3" spans="1:14" ht="13.8" thickBot="1" x14ac:dyDescent="0.3">
      <c r="A3" s="139"/>
      <c r="B3" s="189"/>
      <c r="C3" s="190"/>
      <c r="D3" s="139"/>
      <c r="F3" s="55"/>
      <c r="G3" s="55"/>
      <c r="H3" s="25" t="s">
        <v>59</v>
      </c>
      <c r="I3" s="26">
        <v>1214337.48</v>
      </c>
      <c r="J3" s="26">
        <v>1001907.0299999999</v>
      </c>
      <c r="K3" s="26">
        <v>1437379.5099999998</v>
      </c>
      <c r="L3" s="26">
        <v>417842.68</v>
      </c>
      <c r="M3" s="26">
        <v>5832.61</v>
      </c>
      <c r="N3" s="70">
        <f t="shared" ref="N3:N40" si="0">SUM(I3:M3)</f>
        <v>4077299.3099999996</v>
      </c>
    </row>
    <row r="4" spans="1:14" ht="13.2" x14ac:dyDescent="0.25">
      <c r="A4" s="54" t="s">
        <v>1</v>
      </c>
      <c r="B4" s="138" t="s">
        <v>21</v>
      </c>
      <c r="C4" s="138" t="s">
        <v>123</v>
      </c>
      <c r="D4" s="138" t="s">
        <v>140</v>
      </c>
      <c r="E4" s="54" t="s">
        <v>294</v>
      </c>
      <c r="F4" s="75" t="s">
        <v>299</v>
      </c>
      <c r="G4" s="75" t="s">
        <v>300</v>
      </c>
      <c r="H4" s="25" t="s">
        <v>101</v>
      </c>
      <c r="I4" s="26">
        <v>57980.51</v>
      </c>
      <c r="J4" s="26">
        <v>651474.52753000008</v>
      </c>
      <c r="K4" s="26">
        <f>33540.16*17.7575</f>
        <v>595589.39120000007</v>
      </c>
      <c r="L4" s="116">
        <f>168092.2+4280.09*17.6969</f>
        <v>243836.52472099999</v>
      </c>
      <c r="M4" s="116"/>
      <c r="N4" s="70">
        <f t="shared" si="0"/>
        <v>1548880.9534510002</v>
      </c>
    </row>
    <row r="5" spans="1:14" ht="13.2" x14ac:dyDescent="0.25">
      <c r="A5" s="4" t="s">
        <v>50</v>
      </c>
      <c r="B5" s="6">
        <v>276319.51999999996</v>
      </c>
      <c r="C5" s="6">
        <v>21281.48</v>
      </c>
      <c r="D5" s="184">
        <f>B5+'ENERO '!I39</f>
        <v>672141.68160000001</v>
      </c>
      <c r="E5" s="97">
        <f>+D5-E2</f>
        <v>-97858.318399999989</v>
      </c>
      <c r="F5" s="131"/>
      <c r="G5" s="97"/>
      <c r="H5" s="25" t="s">
        <v>51</v>
      </c>
      <c r="I5" s="26">
        <v>265464.77</v>
      </c>
      <c r="J5" s="26">
        <v>105070.24</v>
      </c>
      <c r="K5" s="26">
        <v>393603.79</v>
      </c>
      <c r="L5" s="26">
        <v>30815.16</v>
      </c>
      <c r="M5" s="26">
        <v>103057.61</v>
      </c>
      <c r="N5" s="70">
        <f t="shared" si="0"/>
        <v>898011.57000000007</v>
      </c>
    </row>
    <row r="6" spans="1:14" ht="13.2" x14ac:dyDescent="0.25">
      <c r="A6" s="4" t="s">
        <v>18</v>
      </c>
      <c r="B6" s="6">
        <v>94927.06</v>
      </c>
      <c r="C6" s="4"/>
      <c r="D6" s="184">
        <f t="shared" ref="D6:D9" si="1">B6+C6*$B$2</f>
        <v>94927.06</v>
      </c>
      <c r="E6" s="97">
        <f>+D6-E2</f>
        <v>-675072.94</v>
      </c>
      <c r="F6" s="131"/>
      <c r="G6" s="97"/>
      <c r="H6" s="25" t="s">
        <v>117</v>
      </c>
      <c r="I6" s="26">
        <v>6143.36</v>
      </c>
      <c r="J6" s="26">
        <v>377670.11</v>
      </c>
      <c r="K6" s="26">
        <v>106943.39</v>
      </c>
      <c r="L6" s="26">
        <v>173073.75</v>
      </c>
      <c r="M6" s="26"/>
      <c r="N6" s="70">
        <f t="shared" si="0"/>
        <v>663830.61</v>
      </c>
    </row>
    <row r="7" spans="1:14" ht="13.2" x14ac:dyDescent="0.25">
      <c r="A7" s="4" t="s">
        <v>33</v>
      </c>
      <c r="B7" s="6">
        <v>585963.89</v>
      </c>
      <c r="C7" s="4"/>
      <c r="D7" s="184">
        <f t="shared" si="1"/>
        <v>585963.89</v>
      </c>
      <c r="E7" s="97">
        <f>+D7-E2</f>
        <v>-184036.11</v>
      </c>
      <c r="F7" s="131"/>
      <c r="G7" s="97"/>
      <c r="H7" s="25" t="s">
        <v>135</v>
      </c>
      <c r="I7" s="26">
        <v>522366.4</v>
      </c>
      <c r="J7" s="26"/>
      <c r="K7" s="26">
        <v>64786.89</v>
      </c>
      <c r="L7" s="26">
        <v>73722.850000000006</v>
      </c>
      <c r="M7" s="26"/>
      <c r="N7" s="70">
        <f t="shared" si="0"/>
        <v>660876.14</v>
      </c>
    </row>
    <row r="8" spans="1:14" ht="13.2" x14ac:dyDescent="0.25">
      <c r="A8" s="4" t="s">
        <v>74</v>
      </c>
      <c r="B8" s="6">
        <v>3900</v>
      </c>
      <c r="C8" s="4"/>
      <c r="D8" s="184">
        <f t="shared" si="1"/>
        <v>3900</v>
      </c>
      <c r="E8" s="97">
        <f>+D8-E2</f>
        <v>-766100</v>
      </c>
      <c r="F8" s="131"/>
      <c r="G8" s="97"/>
      <c r="H8" s="25" t="s">
        <v>67</v>
      </c>
      <c r="I8" s="26">
        <v>146667.55000000002</v>
      </c>
      <c r="J8" s="26"/>
      <c r="K8" s="26">
        <v>172166.90000000002</v>
      </c>
      <c r="L8" s="26">
        <v>69949.260000000009</v>
      </c>
      <c r="M8" s="26">
        <v>8670.4699999999993</v>
      </c>
      <c r="N8" s="70">
        <f t="shared" si="0"/>
        <v>397454.18000000005</v>
      </c>
    </row>
    <row r="9" spans="1:14" ht="13.2" x14ac:dyDescent="0.25">
      <c r="A9" s="4" t="s">
        <v>24</v>
      </c>
      <c r="B9" s="6">
        <v>1759610.2399999998</v>
      </c>
      <c r="C9" s="4"/>
      <c r="D9" s="185">
        <f t="shared" si="1"/>
        <v>1759610.2399999998</v>
      </c>
      <c r="E9" s="98">
        <f>+D9-E2</f>
        <v>989610.23999999976</v>
      </c>
      <c r="F9" s="132"/>
      <c r="G9" s="98"/>
      <c r="H9" s="25" t="s">
        <v>121</v>
      </c>
      <c r="I9" s="26">
        <v>376188.46566400002</v>
      </c>
      <c r="J9" s="26">
        <v>7666.0378559999999</v>
      </c>
      <c r="K9" s="26"/>
      <c r="L9" s="26">
        <v>0</v>
      </c>
      <c r="M9" s="26"/>
      <c r="N9" s="70">
        <f t="shared" si="0"/>
        <v>383854.50352000003</v>
      </c>
    </row>
    <row r="10" spans="1:14" ht="13.2" x14ac:dyDescent="0.25">
      <c r="A10" s="119" t="s">
        <v>365</v>
      </c>
      <c r="B10" s="120">
        <v>2720720.71</v>
      </c>
      <c r="C10" s="120">
        <v>21281.48</v>
      </c>
      <c r="D10" s="130">
        <f>SUM(D5:D9)</f>
        <v>3116542.8715999997</v>
      </c>
      <c r="E10" s="121"/>
      <c r="F10" s="134"/>
      <c r="G10" s="121"/>
      <c r="H10" s="25" t="s">
        <v>105</v>
      </c>
      <c r="I10" s="26">
        <v>306878.08000000002</v>
      </c>
      <c r="J10" s="26"/>
      <c r="K10" s="26"/>
      <c r="L10" s="26">
        <v>0</v>
      </c>
      <c r="M10" s="26"/>
      <c r="N10" s="70">
        <f t="shared" si="0"/>
        <v>306878.08000000002</v>
      </c>
    </row>
    <row r="11" spans="1:14" ht="13.2" x14ac:dyDescent="0.25">
      <c r="A11" s="22"/>
      <c r="B11" s="23"/>
      <c r="C11" s="23"/>
      <c r="D11" s="23"/>
      <c r="H11" s="25" t="s">
        <v>19</v>
      </c>
      <c r="I11" s="26">
        <v>2387.29</v>
      </c>
      <c r="J11" s="26">
        <v>43474.82</v>
      </c>
      <c r="K11" s="26"/>
      <c r="L11" s="26">
        <v>206387.19</v>
      </c>
      <c r="M11" s="26">
        <v>7140.41</v>
      </c>
      <c r="N11" s="70">
        <f t="shared" si="0"/>
        <v>259389.71</v>
      </c>
    </row>
    <row r="12" spans="1:14" ht="15.75" customHeight="1" x14ac:dyDescent="0.25">
      <c r="A12" s="122">
        <v>46054</v>
      </c>
      <c r="H12" s="25" t="s">
        <v>274</v>
      </c>
      <c r="I12" s="26"/>
      <c r="J12" s="26"/>
      <c r="K12" s="26">
        <v>21161.42</v>
      </c>
      <c r="L12" s="26">
        <v>204576.2</v>
      </c>
      <c r="M12" s="26"/>
      <c r="N12" s="70">
        <f t="shared" si="0"/>
        <v>225737.62</v>
      </c>
    </row>
    <row r="13" spans="1:14" ht="15.75" customHeight="1" x14ac:dyDescent="0.25">
      <c r="A13" s="125" t="s">
        <v>139</v>
      </c>
      <c r="B13" s="126">
        <v>17.2286</v>
      </c>
      <c r="E13" s="55"/>
      <c r="F13" s="55"/>
      <c r="G13" s="55"/>
      <c r="H13" s="25" t="s">
        <v>155</v>
      </c>
      <c r="I13" s="13"/>
      <c r="J13" s="26">
        <v>14513</v>
      </c>
      <c r="K13" s="26">
        <v>31800</v>
      </c>
      <c r="L13" s="26">
        <v>12460</v>
      </c>
      <c r="M13" s="26">
        <v>131414.39999999999</v>
      </c>
      <c r="N13" s="70">
        <f t="shared" si="0"/>
        <v>190187.4</v>
      </c>
    </row>
    <row r="14" spans="1:14" ht="15.75" customHeight="1" x14ac:dyDescent="0.25">
      <c r="A14" s="24" t="s">
        <v>1</v>
      </c>
      <c r="B14" s="24" t="s">
        <v>21</v>
      </c>
      <c r="C14" s="24" t="s">
        <v>123</v>
      </c>
      <c r="D14" s="129" t="s">
        <v>141</v>
      </c>
      <c r="E14" s="135" t="s">
        <v>294</v>
      </c>
      <c r="F14" s="75" t="s">
        <v>299</v>
      </c>
      <c r="G14" s="75" t="s">
        <v>300</v>
      </c>
      <c r="H14" s="96" t="s">
        <v>153</v>
      </c>
      <c r="I14" s="26"/>
      <c r="J14" s="26">
        <v>11151.900494</v>
      </c>
      <c r="K14" s="26">
        <f>8082.4*17.7575</f>
        <v>143523.21799999999</v>
      </c>
      <c r="L14" s="26">
        <v>0</v>
      </c>
      <c r="M14" s="26">
        <v>7351.1452380000001</v>
      </c>
      <c r="N14" s="70">
        <f t="shared" si="0"/>
        <v>162026.26373199999</v>
      </c>
    </row>
    <row r="15" spans="1:14" ht="15.75" customHeight="1" x14ac:dyDescent="0.25">
      <c r="A15" s="25" t="s">
        <v>50</v>
      </c>
      <c r="B15" s="26">
        <v>96228.109999999986</v>
      </c>
      <c r="C15" s="26">
        <v>1092.25</v>
      </c>
      <c r="D15" s="186">
        <f>+B15+FEBRERO!I40</f>
        <v>115487.71389999999</v>
      </c>
      <c r="E15" s="97">
        <f>+D15-$E$2</f>
        <v>-654512.28610000003</v>
      </c>
      <c r="F15" s="131"/>
      <c r="G15" s="97"/>
      <c r="H15" s="25" t="s">
        <v>178</v>
      </c>
      <c r="J15" s="26">
        <v>16815.47</v>
      </c>
      <c r="K15" s="26">
        <v>121920.27</v>
      </c>
      <c r="L15" s="26">
        <v>15747</v>
      </c>
      <c r="M15" s="26"/>
      <c r="N15" s="70">
        <f t="shared" si="0"/>
        <v>154482.74</v>
      </c>
    </row>
    <row r="16" spans="1:14" ht="15.75" customHeight="1" x14ac:dyDescent="0.25">
      <c r="A16" s="25" t="s">
        <v>18</v>
      </c>
      <c r="B16" s="26">
        <v>430377.91000000003</v>
      </c>
      <c r="C16" s="26">
        <v>38547.630000000005</v>
      </c>
      <c r="D16" s="187">
        <f>+B16+FEBRERO!I41</f>
        <v>1183044.6227000002</v>
      </c>
      <c r="E16" s="98">
        <f t="shared" ref="E16:E19" si="2">+D16-$E$2</f>
        <v>413044.62270000018</v>
      </c>
      <c r="F16" s="132">
        <v>24996.41338894</v>
      </c>
      <c r="G16" s="99">
        <v>46136</v>
      </c>
      <c r="H16" s="96" t="s">
        <v>78</v>
      </c>
      <c r="I16" s="26">
        <v>3788.24</v>
      </c>
      <c r="J16" s="26">
        <v>23031.260000000002</v>
      </c>
      <c r="K16" s="26"/>
      <c r="L16" s="26">
        <v>80001.600000000006</v>
      </c>
      <c r="M16" s="26">
        <v>3788.24</v>
      </c>
      <c r="N16" s="70">
        <f t="shared" si="0"/>
        <v>110609.34000000001</v>
      </c>
    </row>
    <row r="17" spans="1:14" ht="15.75" customHeight="1" x14ac:dyDescent="0.25">
      <c r="A17" s="25" t="s">
        <v>33</v>
      </c>
      <c r="B17" s="26">
        <v>97086.59</v>
      </c>
      <c r="C17" s="26"/>
      <c r="D17" s="186">
        <f t="shared" ref="D17:D19" si="3">+B17+C17*$B$13</f>
        <v>97086.59</v>
      </c>
      <c r="E17" s="97">
        <f t="shared" si="2"/>
        <v>-672913.41</v>
      </c>
      <c r="F17" s="131"/>
      <c r="G17" s="97"/>
      <c r="H17" s="96" t="s">
        <v>38</v>
      </c>
      <c r="I17" s="26">
        <v>36175.29</v>
      </c>
      <c r="J17" s="26">
        <v>7167.35</v>
      </c>
      <c r="K17" s="26">
        <v>17624.52</v>
      </c>
      <c r="L17" s="26">
        <v>7244.42</v>
      </c>
      <c r="M17" s="26">
        <v>38518.83</v>
      </c>
      <c r="N17" s="70">
        <f t="shared" si="0"/>
        <v>106730.41</v>
      </c>
    </row>
    <row r="18" spans="1:14" ht="15.75" customHeight="1" x14ac:dyDescent="0.25">
      <c r="A18" s="25" t="s">
        <v>74</v>
      </c>
      <c r="B18" s="26">
        <v>12000</v>
      </c>
      <c r="C18" s="26"/>
      <c r="D18" s="186">
        <f t="shared" si="3"/>
        <v>12000</v>
      </c>
      <c r="E18" s="97">
        <f t="shared" si="2"/>
        <v>-758000</v>
      </c>
      <c r="F18" s="131"/>
      <c r="G18" s="97"/>
      <c r="H18" s="133" t="s">
        <v>323</v>
      </c>
      <c r="I18" s="13"/>
      <c r="J18" s="13"/>
      <c r="K18" s="13"/>
      <c r="L18" s="26">
        <v>98714.81</v>
      </c>
      <c r="M18" s="26">
        <v>88.88</v>
      </c>
      <c r="N18" s="70">
        <f t="shared" si="0"/>
        <v>98803.69</v>
      </c>
    </row>
    <row r="19" spans="1:14" ht="15.75" customHeight="1" x14ac:dyDescent="0.25">
      <c r="A19" s="25" t="s">
        <v>24</v>
      </c>
      <c r="B19" s="26">
        <v>1031773.4299999999</v>
      </c>
      <c r="C19" s="26"/>
      <c r="D19" s="187">
        <f t="shared" si="3"/>
        <v>1031773.4299999999</v>
      </c>
      <c r="E19" s="98">
        <f t="shared" si="2"/>
        <v>261773.42999999993</v>
      </c>
      <c r="F19" s="132"/>
      <c r="G19" s="98"/>
      <c r="H19" s="96" t="s">
        <v>250</v>
      </c>
      <c r="I19" s="26"/>
      <c r="J19" s="26"/>
      <c r="K19" s="26">
        <v>43213.34</v>
      </c>
      <c r="L19" s="26">
        <v>34272.99</v>
      </c>
      <c r="M19" s="26">
        <v>14010.74</v>
      </c>
      <c r="N19" s="70">
        <f t="shared" si="0"/>
        <v>91497.069999999992</v>
      </c>
    </row>
    <row r="20" spans="1:14" ht="15.75" customHeight="1" x14ac:dyDescent="0.25">
      <c r="A20" s="123" t="s">
        <v>365</v>
      </c>
      <c r="B20" s="124">
        <v>1667466.04</v>
      </c>
      <c r="C20" s="124">
        <v>39639.880000000005</v>
      </c>
      <c r="D20" s="128">
        <f>SUM(D15:D19)</f>
        <v>2439392.3566000005</v>
      </c>
      <c r="E20" s="121"/>
      <c r="F20" s="134"/>
      <c r="G20" s="121"/>
      <c r="H20" s="25" t="s">
        <v>335</v>
      </c>
      <c r="I20" s="13"/>
      <c r="J20" s="26"/>
      <c r="K20" s="26"/>
      <c r="L20" s="26">
        <v>72959.460000000006</v>
      </c>
      <c r="M20" s="26">
        <v>7151.29</v>
      </c>
      <c r="N20" s="70">
        <f t="shared" si="0"/>
        <v>80110.75</v>
      </c>
    </row>
    <row r="21" spans="1:14" ht="15.75" customHeight="1" x14ac:dyDescent="0.25">
      <c r="H21" s="13" t="s">
        <v>390</v>
      </c>
      <c r="I21" s="13"/>
      <c r="J21" s="26"/>
      <c r="K21" s="26"/>
      <c r="L21" s="26"/>
      <c r="M21" s="26">
        <v>65391.56</v>
      </c>
      <c r="N21" s="70">
        <f t="shared" si="0"/>
        <v>65391.56</v>
      </c>
    </row>
    <row r="22" spans="1:14" ht="15.75" customHeight="1" x14ac:dyDescent="0.25">
      <c r="A22" s="122">
        <v>46082</v>
      </c>
      <c r="H22" s="25" t="s">
        <v>81</v>
      </c>
      <c r="I22" s="26">
        <v>17851.849999999999</v>
      </c>
      <c r="J22" s="26">
        <v>37110.300000000003</v>
      </c>
      <c r="K22" s="26">
        <v>9920.0300000000007</v>
      </c>
      <c r="L22" s="26">
        <v>0</v>
      </c>
      <c r="M22" s="26"/>
      <c r="N22" s="70">
        <f t="shared" si="0"/>
        <v>64882.18</v>
      </c>
    </row>
    <row r="23" spans="1:14" ht="15.75" customHeight="1" x14ac:dyDescent="0.25">
      <c r="A23" s="125" t="s">
        <v>139</v>
      </c>
      <c r="B23" s="126">
        <v>17.7575</v>
      </c>
      <c r="E23" s="55"/>
      <c r="F23" s="55"/>
      <c r="G23" s="55"/>
      <c r="H23" s="25" t="s">
        <v>132</v>
      </c>
      <c r="I23" s="26">
        <v>48725.74</v>
      </c>
      <c r="J23" s="26"/>
      <c r="K23" s="26"/>
      <c r="L23" s="26">
        <v>0</v>
      </c>
      <c r="M23" s="26"/>
      <c r="N23" s="70">
        <f t="shared" si="0"/>
        <v>48725.74</v>
      </c>
    </row>
    <row r="24" spans="1:14" ht="15.75" customHeight="1" x14ac:dyDescent="0.25">
      <c r="A24" s="24" t="s">
        <v>1</v>
      </c>
      <c r="B24" s="24" t="s">
        <v>21</v>
      </c>
      <c r="C24" s="24" t="s">
        <v>123</v>
      </c>
      <c r="D24" s="24" t="s">
        <v>141</v>
      </c>
      <c r="E24" s="54" t="s">
        <v>294</v>
      </c>
      <c r="F24" s="75" t="s">
        <v>299</v>
      </c>
      <c r="G24" s="75" t="s">
        <v>300</v>
      </c>
      <c r="H24" s="25" t="s">
        <v>162</v>
      </c>
      <c r="I24" s="26"/>
      <c r="J24" s="26">
        <v>12647.170688</v>
      </c>
      <c r="K24" s="26"/>
      <c r="L24" s="26">
        <v>0</v>
      </c>
      <c r="M24" s="26">
        <v>35391.199999999997</v>
      </c>
      <c r="N24" s="70">
        <f t="shared" si="0"/>
        <v>48038.370687999995</v>
      </c>
    </row>
    <row r="25" spans="1:14" ht="15.75" customHeight="1" x14ac:dyDescent="0.25">
      <c r="A25" s="25" t="s">
        <v>50</v>
      </c>
      <c r="B25" s="26">
        <v>402511.38999999996</v>
      </c>
      <c r="C25" s="26">
        <v>7189.3</v>
      </c>
      <c r="D25" s="127">
        <f>+B25+MARZO!I43</f>
        <v>529974.98459999997</v>
      </c>
      <c r="E25" s="97">
        <f>+D25-$E$2</f>
        <v>-240025.01540000003</v>
      </c>
      <c r="F25" s="131"/>
      <c r="G25" s="97"/>
      <c r="H25" s="25" t="s">
        <v>29</v>
      </c>
      <c r="I25" s="26">
        <v>23402.58</v>
      </c>
      <c r="J25" s="26">
        <v>9232.98</v>
      </c>
      <c r="K25" s="26"/>
      <c r="L25" s="26">
        <v>0</v>
      </c>
      <c r="M25" s="26"/>
      <c r="N25" s="70">
        <f t="shared" si="0"/>
        <v>32635.56</v>
      </c>
    </row>
    <row r="26" spans="1:14" ht="15.75" customHeight="1" x14ac:dyDescent="0.25">
      <c r="A26" s="25" t="s">
        <v>18</v>
      </c>
      <c r="B26" s="176">
        <v>106943.39</v>
      </c>
      <c r="C26" s="176">
        <v>33540.160000000003</v>
      </c>
      <c r="D26" s="188">
        <f>+B26+MARZO!I44</f>
        <v>789150.24440000008</v>
      </c>
      <c r="E26" s="98">
        <f t="shared" ref="E26:E29" si="4">+D26-$E$2</f>
        <v>19150.244400000083</v>
      </c>
      <c r="F26" s="131"/>
      <c r="G26" s="97"/>
      <c r="H26" s="25" t="s">
        <v>91</v>
      </c>
      <c r="I26" s="26">
        <v>14754.75</v>
      </c>
      <c r="J26" s="26"/>
      <c r="K26" s="26"/>
      <c r="L26" s="26">
        <v>13991.6</v>
      </c>
      <c r="M26" s="26">
        <v>1471.5</v>
      </c>
      <c r="N26" s="70">
        <f t="shared" si="0"/>
        <v>30217.85</v>
      </c>
    </row>
    <row r="27" spans="1:14" ht="15.75" customHeight="1" x14ac:dyDescent="0.25">
      <c r="A27" s="25" t="s">
        <v>33</v>
      </c>
      <c r="B27" s="26">
        <v>368420.85</v>
      </c>
      <c r="C27" s="26"/>
      <c r="D27" s="127">
        <f t="shared" ref="D27:D29" si="5">+B27+C27*$B$23</f>
        <v>368420.85</v>
      </c>
      <c r="E27" s="97">
        <f t="shared" si="4"/>
        <v>-401579.15</v>
      </c>
      <c r="F27" s="131"/>
      <c r="H27" s="25" t="s">
        <v>34</v>
      </c>
      <c r="I27" s="26">
        <v>29665.38</v>
      </c>
      <c r="J27" s="26"/>
      <c r="K27" s="26"/>
      <c r="L27" s="26">
        <v>0</v>
      </c>
      <c r="M27" s="26"/>
      <c r="N27" s="70">
        <f t="shared" si="0"/>
        <v>29665.38</v>
      </c>
    </row>
    <row r="28" spans="1:14" ht="15.75" customHeight="1" x14ac:dyDescent="0.25">
      <c r="A28" s="25" t="s">
        <v>74</v>
      </c>
      <c r="B28" s="26">
        <v>52547.19</v>
      </c>
      <c r="C28" s="26">
        <v>893.1</v>
      </c>
      <c r="D28" s="127">
        <f>+B28+MARZO!I45</f>
        <v>67881.717000000004</v>
      </c>
      <c r="E28" s="97">
        <f t="shared" si="4"/>
        <v>-702118.28300000005</v>
      </c>
      <c r="F28" s="131"/>
      <c r="G28" s="97"/>
      <c r="H28" s="71" t="s">
        <v>419</v>
      </c>
      <c r="I28" s="13"/>
      <c r="J28" s="26"/>
      <c r="K28" s="26"/>
      <c r="L28" s="26"/>
      <c r="M28" s="26">
        <v>26803.03</v>
      </c>
      <c r="N28" s="70">
        <f t="shared" si="0"/>
        <v>26803.03</v>
      </c>
    </row>
    <row r="29" spans="1:14" ht="15.75" customHeight="1" x14ac:dyDescent="0.25">
      <c r="A29" s="25" t="s">
        <v>24</v>
      </c>
      <c r="B29" s="26">
        <v>1510851.5099999998</v>
      </c>
      <c r="C29" s="26"/>
      <c r="D29" s="188">
        <f t="shared" si="5"/>
        <v>1510851.5099999998</v>
      </c>
      <c r="E29" s="98">
        <f t="shared" si="4"/>
        <v>740851.50999999978</v>
      </c>
      <c r="F29" s="132"/>
      <c r="G29" s="98"/>
      <c r="H29" s="25" t="s">
        <v>188</v>
      </c>
      <c r="I29" s="13"/>
      <c r="J29" s="26">
        <v>21480.47</v>
      </c>
      <c r="K29" s="26"/>
      <c r="L29" s="26">
        <v>0</v>
      </c>
      <c r="M29" s="26">
        <v>1878.67</v>
      </c>
      <c r="N29" s="70">
        <f t="shared" si="0"/>
        <v>23359.14</v>
      </c>
    </row>
    <row r="30" spans="1:14" ht="15.75" customHeight="1" x14ac:dyDescent="0.25">
      <c r="A30" s="123" t="s">
        <v>366</v>
      </c>
      <c r="B30" s="124">
        <f>SUM(B25:B29)</f>
        <v>2441274.3299999996</v>
      </c>
      <c r="C30" s="124">
        <f>SUM(C25:C29)</f>
        <v>41622.560000000005</v>
      </c>
      <c r="D30" s="124">
        <f>SUM(D25:D29)</f>
        <v>3266279.3059999999</v>
      </c>
      <c r="E30" s="121"/>
      <c r="F30" s="121"/>
      <c r="G30" s="121"/>
      <c r="H30" s="25" t="s">
        <v>261</v>
      </c>
      <c r="I30" s="26"/>
      <c r="J30" s="26"/>
      <c r="K30" s="26">
        <v>14989.13</v>
      </c>
      <c r="L30" s="26">
        <v>0</v>
      </c>
      <c r="M30" s="26"/>
      <c r="N30" s="70">
        <f t="shared" si="0"/>
        <v>14989.13</v>
      </c>
    </row>
    <row r="31" spans="1:14" ht="15.75" customHeight="1" x14ac:dyDescent="0.25">
      <c r="H31" s="25" t="s">
        <v>47</v>
      </c>
      <c r="I31" s="26">
        <v>14420.32</v>
      </c>
      <c r="J31" s="26"/>
      <c r="K31" s="26"/>
      <c r="L31" s="26">
        <v>0</v>
      </c>
      <c r="M31" s="26"/>
      <c r="N31" s="70">
        <f t="shared" si="0"/>
        <v>14420.32</v>
      </c>
    </row>
    <row r="32" spans="1:14" ht="15.75" customHeight="1" x14ac:dyDescent="0.25">
      <c r="A32" s="122">
        <v>46113</v>
      </c>
      <c r="H32" s="25" t="s">
        <v>42</v>
      </c>
      <c r="I32" s="26">
        <v>5013.32</v>
      </c>
      <c r="J32" s="26"/>
      <c r="K32" s="26"/>
      <c r="L32" s="26">
        <v>5619.64</v>
      </c>
      <c r="M32" s="26"/>
      <c r="N32" s="70">
        <f t="shared" si="0"/>
        <v>10632.96</v>
      </c>
    </row>
    <row r="33" spans="1:14" ht="15.75" customHeight="1" x14ac:dyDescent="0.25">
      <c r="A33" s="125" t="s">
        <v>139</v>
      </c>
      <c r="B33" s="126">
        <v>17.696899999999999</v>
      </c>
      <c r="E33" s="55"/>
      <c r="F33" s="55"/>
      <c r="G33" s="55"/>
      <c r="H33" s="13" t="s">
        <v>337</v>
      </c>
      <c r="I33" s="13"/>
      <c r="J33" s="13"/>
      <c r="K33" s="13"/>
      <c r="L33" s="26">
        <v>7469.14</v>
      </c>
      <c r="M33" s="26"/>
      <c r="N33" s="70">
        <f t="shared" si="0"/>
        <v>7469.14</v>
      </c>
    </row>
    <row r="34" spans="1:14" ht="15.75" customHeight="1" x14ac:dyDescent="0.25">
      <c r="A34" s="24" t="s">
        <v>1</v>
      </c>
      <c r="B34" s="24" t="s">
        <v>21</v>
      </c>
      <c r="C34" s="24" t="s">
        <v>123</v>
      </c>
      <c r="D34" s="24" t="s">
        <v>141</v>
      </c>
      <c r="E34" s="54" t="s">
        <v>294</v>
      </c>
      <c r="F34" s="75" t="s">
        <v>299</v>
      </c>
      <c r="G34" s="75" t="s">
        <v>300</v>
      </c>
      <c r="H34" s="25" t="s">
        <v>169</v>
      </c>
      <c r="I34" s="13"/>
      <c r="J34" s="26">
        <v>6835.1399999999994</v>
      </c>
      <c r="K34" s="26"/>
      <c r="L34" s="26">
        <v>0</v>
      </c>
      <c r="M34" s="26"/>
      <c r="N34" s="70">
        <f t="shared" si="0"/>
        <v>6835.1399999999994</v>
      </c>
    </row>
    <row r="35" spans="1:14" ht="15.75" customHeight="1" x14ac:dyDescent="0.25">
      <c r="A35" s="25" t="s">
        <v>50</v>
      </c>
      <c r="B35" s="26">
        <v>43494.83</v>
      </c>
      <c r="C35" s="26">
        <v>0</v>
      </c>
      <c r="D35" s="186">
        <f t="shared" ref="D35:D40" si="6">+B35+C35*$B$33</f>
        <v>43494.83</v>
      </c>
      <c r="E35" s="97">
        <f>+D35-$E$2</f>
        <v>-726505.17</v>
      </c>
      <c r="F35" s="131"/>
      <c r="G35" s="97"/>
      <c r="H35" s="25" t="s">
        <v>25</v>
      </c>
      <c r="I35" s="26">
        <v>4697.8</v>
      </c>
      <c r="J35" s="26"/>
      <c r="K35" s="26"/>
      <c r="L35" s="26">
        <v>0</v>
      </c>
      <c r="M35" s="26"/>
      <c r="N35" s="70">
        <f t="shared" si="0"/>
        <v>4697.8</v>
      </c>
    </row>
    <row r="36" spans="1:14" ht="15.75" customHeight="1" x14ac:dyDescent="0.25">
      <c r="A36" s="25" t="s">
        <v>18</v>
      </c>
      <c r="B36" s="26">
        <v>557805.11</v>
      </c>
      <c r="C36" s="26">
        <v>4280.09</v>
      </c>
      <c r="D36" s="186">
        <f>+B36+ABRIL!I47</f>
        <v>644857.00449199998</v>
      </c>
      <c r="E36" s="97">
        <f t="shared" ref="E36:E40" si="7">+D36-$E$2</f>
        <v>-125142.99550800002</v>
      </c>
      <c r="F36" s="131"/>
      <c r="G36" s="97"/>
      <c r="H36" s="13" t="s">
        <v>314</v>
      </c>
      <c r="I36" s="13"/>
      <c r="J36" s="13"/>
      <c r="K36" s="13"/>
      <c r="L36" s="26">
        <v>4632.33</v>
      </c>
      <c r="M36" s="26"/>
      <c r="N36" s="70">
        <f t="shared" si="0"/>
        <v>4632.33</v>
      </c>
    </row>
    <row r="37" spans="1:14" ht="15.75" customHeight="1" x14ac:dyDescent="0.25">
      <c r="A37" s="25" t="s">
        <v>33</v>
      </c>
      <c r="B37" s="26">
        <v>178360.14</v>
      </c>
      <c r="C37" s="26">
        <v>0</v>
      </c>
      <c r="D37" s="186">
        <f t="shared" si="6"/>
        <v>178360.14</v>
      </c>
      <c r="E37" s="97">
        <f t="shared" si="7"/>
        <v>-591639.86</v>
      </c>
      <c r="F37" s="131"/>
      <c r="G37" s="97"/>
      <c r="H37" s="25" t="s">
        <v>311</v>
      </c>
      <c r="I37" s="13"/>
      <c r="J37" s="26"/>
      <c r="K37" s="26"/>
      <c r="L37" s="26">
        <v>3891.08</v>
      </c>
      <c r="M37" s="26"/>
      <c r="N37" s="70">
        <f t="shared" si="0"/>
        <v>3891.08</v>
      </c>
    </row>
    <row r="38" spans="1:14" ht="15.75" customHeight="1" x14ac:dyDescent="0.25">
      <c r="A38" s="25" t="s">
        <v>74</v>
      </c>
      <c r="B38" s="26">
        <v>217248.35</v>
      </c>
      <c r="C38" s="26">
        <v>0</v>
      </c>
      <c r="D38" s="186">
        <f t="shared" si="6"/>
        <v>217248.35</v>
      </c>
      <c r="E38" s="97">
        <f t="shared" si="7"/>
        <v>-552751.65</v>
      </c>
      <c r="F38" s="131"/>
      <c r="G38" s="97"/>
      <c r="H38" s="13" t="s">
        <v>350</v>
      </c>
      <c r="I38" s="13"/>
      <c r="J38" s="13"/>
      <c r="K38" s="13"/>
      <c r="L38" s="26">
        <v>3648.32</v>
      </c>
      <c r="M38" s="26"/>
      <c r="N38" s="70">
        <f t="shared" si="0"/>
        <v>3648.32</v>
      </c>
    </row>
    <row r="39" spans="1:14" ht="15.75" customHeight="1" x14ac:dyDescent="0.25">
      <c r="A39" s="25" t="s">
        <v>24</v>
      </c>
      <c r="B39" s="26">
        <v>675669.69</v>
      </c>
      <c r="C39" s="26">
        <v>0</v>
      </c>
      <c r="D39" s="186">
        <f t="shared" si="6"/>
        <v>675669.69</v>
      </c>
      <c r="E39" s="97">
        <f t="shared" si="7"/>
        <v>-94330.310000000056</v>
      </c>
      <c r="F39" s="132"/>
      <c r="G39" s="98"/>
      <c r="H39" s="25" t="s">
        <v>144</v>
      </c>
      <c r="I39" s="13"/>
      <c r="J39" s="26">
        <v>3157.87</v>
      </c>
      <c r="K39" s="26"/>
      <c r="L39" s="26">
        <v>0</v>
      </c>
      <c r="M39" s="26"/>
      <c r="N39" s="70">
        <f t="shared" si="0"/>
        <v>3157.87</v>
      </c>
    </row>
    <row r="40" spans="1:14" ht="15.75" customHeight="1" x14ac:dyDescent="0.25">
      <c r="A40" t="s">
        <v>316</v>
      </c>
      <c r="B40" s="26">
        <v>32533.559999999998</v>
      </c>
      <c r="C40" s="26">
        <v>0</v>
      </c>
      <c r="D40" s="186">
        <f t="shared" si="6"/>
        <v>32533.559999999998</v>
      </c>
      <c r="E40" s="97">
        <f t="shared" si="7"/>
        <v>-737466.44</v>
      </c>
      <c r="F40" s="133"/>
      <c r="G40" s="13"/>
      <c r="H40" s="25" t="s">
        <v>388</v>
      </c>
      <c r="I40" s="13"/>
      <c r="J40" s="26"/>
      <c r="K40" s="26"/>
      <c r="L40" s="26"/>
      <c r="M40" s="26">
        <v>1712.7</v>
      </c>
      <c r="N40" s="70">
        <f t="shared" si="0"/>
        <v>1712.7</v>
      </c>
    </row>
    <row r="41" spans="1:14" ht="15.75" customHeight="1" x14ac:dyDescent="0.25">
      <c r="A41" s="123" t="s">
        <v>366</v>
      </c>
      <c r="B41" s="124">
        <f>SUM(B35:B40)</f>
        <v>1705111.68</v>
      </c>
      <c r="C41" s="124">
        <f>SUM(C35:C40)</f>
        <v>4280.09</v>
      </c>
      <c r="D41" s="128">
        <f>SUM(D35:D40)</f>
        <v>1792163.574492</v>
      </c>
      <c r="E41" s="121"/>
      <c r="F41" s="134"/>
      <c r="G41" s="121"/>
      <c r="I41" s="117">
        <f>SUM(I3:I40)</f>
        <v>3096909.1756639997</v>
      </c>
      <c r="J41" s="117">
        <f t="shared" ref="J41:M41" si="8">SUM(J3:J40)</f>
        <v>2350405.6765680001</v>
      </c>
      <c r="K41" s="117">
        <f t="shared" si="8"/>
        <v>3174621.7991999993</v>
      </c>
      <c r="L41" s="117">
        <f t="shared" si="8"/>
        <v>1780856.0047210001</v>
      </c>
      <c r="M41" s="117">
        <f t="shared" si="8"/>
        <v>459673.28523799998</v>
      </c>
      <c r="N41" s="117">
        <f>SUM(N3:N40)</f>
        <v>10862465.941391004</v>
      </c>
    </row>
    <row r="43" spans="1:14" ht="15.75" customHeight="1" x14ac:dyDescent="0.25">
      <c r="A43" s="122">
        <v>46143</v>
      </c>
    </row>
    <row r="44" spans="1:14" ht="15.75" customHeight="1" x14ac:dyDescent="0.25">
      <c r="A44" s="125" t="s">
        <v>139</v>
      </c>
      <c r="B44" s="126">
        <v>17.392199999999999</v>
      </c>
      <c r="E44" s="55"/>
      <c r="F44" s="55"/>
      <c r="G44" s="55"/>
    </row>
    <row r="45" spans="1:14" ht="15.75" customHeight="1" x14ac:dyDescent="0.25">
      <c r="A45" s="24" t="s">
        <v>1</v>
      </c>
      <c r="B45" s="24" t="s">
        <v>21</v>
      </c>
      <c r="C45" s="24" t="s">
        <v>123</v>
      </c>
      <c r="D45" s="24" t="s">
        <v>141</v>
      </c>
      <c r="E45" s="54" t="s">
        <v>294</v>
      </c>
      <c r="F45" s="75" t="s">
        <v>299</v>
      </c>
      <c r="G45" s="75" t="s">
        <v>300</v>
      </c>
    </row>
    <row r="46" spans="1:14" ht="15.75" customHeight="1" x14ac:dyDescent="0.25">
      <c r="A46" s="25" t="s">
        <v>50</v>
      </c>
      <c r="B46" s="26">
        <v>43775.05</v>
      </c>
      <c r="C46" s="26">
        <v>426.99</v>
      </c>
      <c r="D46" s="127">
        <f>+B46+MAYO!J28</f>
        <v>51126.195238</v>
      </c>
      <c r="E46" s="97">
        <f>+D46-$E$2</f>
        <v>-718873.80476199999</v>
      </c>
      <c r="F46" s="131"/>
      <c r="G46" s="97"/>
    </row>
    <row r="47" spans="1:14" ht="15.75" customHeight="1" x14ac:dyDescent="0.25">
      <c r="A47" s="25" t="s">
        <v>18</v>
      </c>
      <c r="B47" s="26">
        <v>42531.61</v>
      </c>
      <c r="C47" s="26">
        <v>0</v>
      </c>
      <c r="D47" s="127">
        <f t="shared" ref="D47:D51" si="9">+B47+C47*$B$33</f>
        <v>42531.61</v>
      </c>
      <c r="E47" s="97">
        <f t="shared" ref="E47:E51" si="10">+D47-$E$2</f>
        <v>-727468.39</v>
      </c>
      <c r="F47" s="131"/>
      <c r="G47" s="97"/>
    </row>
    <row r="48" spans="1:14" ht="15.75" customHeight="1" x14ac:dyDescent="0.25">
      <c r="A48" s="25" t="s">
        <v>33</v>
      </c>
      <c r="B48" s="26">
        <v>253025.72000000003</v>
      </c>
      <c r="C48" s="26">
        <v>0</v>
      </c>
      <c r="D48" s="127">
        <f t="shared" si="9"/>
        <v>253025.72000000003</v>
      </c>
      <c r="E48" s="97">
        <f t="shared" si="10"/>
        <v>-516974.27999999997</v>
      </c>
      <c r="F48" s="131"/>
      <c r="G48" s="97"/>
    </row>
    <row r="49" spans="1:7" ht="15.75" customHeight="1" x14ac:dyDescent="0.25">
      <c r="A49" s="25" t="s">
        <v>74</v>
      </c>
      <c r="B49" s="26">
        <v>103280.53</v>
      </c>
      <c r="C49" s="26">
        <v>0</v>
      </c>
      <c r="D49" s="127">
        <f t="shared" si="9"/>
        <v>103280.53</v>
      </c>
      <c r="E49" s="97">
        <f t="shared" si="10"/>
        <v>-666719.47</v>
      </c>
      <c r="F49" s="131"/>
      <c r="G49" s="97"/>
    </row>
    <row r="50" spans="1:7" ht="15.75" customHeight="1" x14ac:dyDescent="0.25">
      <c r="A50" s="25" t="s">
        <v>24</v>
      </c>
      <c r="B50" s="26">
        <v>3877.12</v>
      </c>
      <c r="C50" s="26">
        <v>0</v>
      </c>
      <c r="D50" s="127">
        <f t="shared" si="9"/>
        <v>3877.12</v>
      </c>
      <c r="E50" s="97">
        <f t="shared" si="10"/>
        <v>-766122.88</v>
      </c>
      <c r="F50" s="132"/>
      <c r="G50" s="98"/>
    </row>
    <row r="51" spans="1:7" ht="15.75" customHeight="1" x14ac:dyDescent="0.25">
      <c r="A51" t="s">
        <v>316</v>
      </c>
      <c r="B51" s="26">
        <v>5832.61</v>
      </c>
      <c r="C51" s="26">
        <v>0</v>
      </c>
      <c r="D51" s="127">
        <f t="shared" si="9"/>
        <v>5832.61</v>
      </c>
      <c r="E51" s="97">
        <f t="shared" si="10"/>
        <v>-764167.39</v>
      </c>
      <c r="F51" s="133"/>
      <c r="G51" s="13"/>
    </row>
    <row r="52" spans="1:7" ht="15.75" customHeight="1" x14ac:dyDescent="0.25">
      <c r="A52" s="123" t="s">
        <v>366</v>
      </c>
      <c r="B52" s="124">
        <f>SUM(B46:B51)</f>
        <v>452322.64</v>
      </c>
      <c r="C52" s="124">
        <f>SUM(C46:C51)</f>
        <v>426.99</v>
      </c>
      <c r="D52" s="128">
        <f>SUM(D46:D51)</f>
        <v>459673.78523799998</v>
      </c>
      <c r="E52" s="121"/>
      <c r="F52" s="134"/>
      <c r="G52" s="121"/>
    </row>
    <row r="54" spans="1:7" ht="15.75" customHeight="1" x14ac:dyDescent="0.25">
      <c r="D54" s="118">
        <f>+D52+D41+D30+D20+D10</f>
        <v>11074051.893929999</v>
      </c>
    </row>
    <row r="55" spans="1:7" ht="15.75" customHeight="1" x14ac:dyDescent="0.25">
      <c r="D55" s="118">
        <f>11074059-D54</f>
        <v>7.1060700006783009</v>
      </c>
    </row>
    <row r="57" spans="1:7" ht="15.75" customHeight="1" x14ac:dyDescent="0.25">
      <c r="D57" s="10" t="s">
        <v>415</v>
      </c>
    </row>
  </sheetData>
  <autoFilter ref="H2:N39" xr:uid="{00000000-0001-0000-0100-000000000000}"/>
  <sortState xmlns:xlrd2="http://schemas.microsoft.com/office/spreadsheetml/2017/richdata2" ref="H3:N40">
    <sortCondition descending="1" ref="N3:N40"/>
  </sortState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W45"/>
  <sheetViews>
    <sheetView zoomScale="85" zoomScaleNormal="85" workbookViewId="0">
      <selection activeCell="H39" sqref="H39"/>
    </sheetView>
  </sheetViews>
  <sheetFormatPr baseColWidth="10" defaultColWidth="12.6640625" defaultRowHeight="15.75" customHeight="1" x14ac:dyDescent="0.25"/>
  <cols>
    <col min="3" max="3" width="12.77734375" bestFit="1" customWidth="1"/>
    <col min="4" max="4" width="14.21875" bestFit="1" customWidth="1"/>
    <col min="5" max="5" width="12.77734375" bestFit="1" customWidth="1"/>
    <col min="6" max="6" width="12.6640625" style="12"/>
    <col min="9" max="9" width="15.88671875" customWidth="1"/>
    <col min="14" max="14" width="14.21875" bestFit="1" customWidth="1"/>
    <col min="15" max="15" width="14.21875" customWidth="1"/>
    <col min="18" max="18" width="14.21875" bestFit="1" customWidth="1"/>
    <col min="21" max="21" width="14.21875" bestFit="1" customWidth="1"/>
  </cols>
  <sheetData>
    <row r="1" spans="1:23" ht="2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301</v>
      </c>
      <c r="I1" s="2"/>
      <c r="J1" s="2" t="s">
        <v>7</v>
      </c>
      <c r="K1" s="2" t="s">
        <v>8</v>
      </c>
      <c r="L1" s="41" t="s">
        <v>233</v>
      </c>
      <c r="M1" s="2" t="s">
        <v>9</v>
      </c>
      <c r="N1" s="147" t="s">
        <v>10</v>
      </c>
      <c r="O1" s="147"/>
      <c r="P1" s="41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7">
        <v>0.03</v>
      </c>
    </row>
    <row r="2" spans="1:23" ht="13.2" hidden="1" x14ac:dyDescent="0.25">
      <c r="A2" s="3">
        <v>12862</v>
      </c>
      <c r="B2" s="4" t="s">
        <v>18</v>
      </c>
      <c r="C2" s="4" t="s">
        <v>19</v>
      </c>
      <c r="D2" s="5">
        <v>46048</v>
      </c>
      <c r="E2" s="4" t="s">
        <v>20</v>
      </c>
      <c r="F2" s="3" t="s">
        <v>21</v>
      </c>
      <c r="G2" s="6">
        <v>2387.29</v>
      </c>
      <c r="H2" s="6">
        <v>1</v>
      </c>
      <c r="I2" s="6"/>
      <c r="J2" s="6">
        <v>504.26</v>
      </c>
      <c r="K2" s="6">
        <v>442.66</v>
      </c>
      <c r="L2" s="6">
        <f>+M2+Q2</f>
        <v>1999.9899999999998</v>
      </c>
      <c r="M2" s="6">
        <v>706.62</v>
      </c>
      <c r="N2" s="6">
        <v>276.64</v>
      </c>
      <c r="O2" s="6">
        <f>+N2*H2</f>
        <v>276.64</v>
      </c>
      <c r="P2" s="6">
        <v>110.66</v>
      </c>
      <c r="Q2" s="6">
        <v>1293.3699999999999</v>
      </c>
      <c r="R2" s="6">
        <v>1404.03</v>
      </c>
      <c r="S2" s="6">
        <v>961.37</v>
      </c>
      <c r="T2" s="4" t="s">
        <v>22</v>
      </c>
      <c r="U2" s="6">
        <v>899.77</v>
      </c>
      <c r="V2" s="4" t="s">
        <v>23</v>
      </c>
      <c r="W2" s="8">
        <f>+U2*0.03</f>
        <v>26.993099999999998</v>
      </c>
    </row>
    <row r="3" spans="1:23" ht="13.2" hidden="1" x14ac:dyDescent="0.25">
      <c r="A3" s="3">
        <v>12856</v>
      </c>
      <c r="B3" s="4" t="s">
        <v>24</v>
      </c>
      <c r="C3" s="4" t="s">
        <v>25</v>
      </c>
      <c r="D3" s="5">
        <v>46051</v>
      </c>
      <c r="E3" s="4" t="s">
        <v>26</v>
      </c>
      <c r="F3" s="3" t="s">
        <v>21</v>
      </c>
      <c r="G3" s="6">
        <v>4697.8</v>
      </c>
      <c r="H3" s="6">
        <v>1</v>
      </c>
      <c r="I3" s="6"/>
      <c r="J3" s="6">
        <v>886.48</v>
      </c>
      <c r="K3" s="6">
        <v>498.85</v>
      </c>
      <c r="L3" s="6">
        <f t="shared" ref="L3:L36" si="0">+M3+Q3</f>
        <v>4697.8</v>
      </c>
      <c r="M3" s="6">
        <v>1185.01</v>
      </c>
      <c r="N3" s="6">
        <v>0</v>
      </c>
      <c r="O3" s="6">
        <f t="shared" ref="O3:O35" si="1">+N3*H3</f>
        <v>0</v>
      </c>
      <c r="P3" s="6">
        <v>0</v>
      </c>
      <c r="Q3" s="6">
        <v>3512.79</v>
      </c>
      <c r="R3" s="6">
        <v>3512.79</v>
      </c>
      <c r="S3" s="6">
        <v>3013.94</v>
      </c>
      <c r="T3" s="4" t="s">
        <v>27</v>
      </c>
      <c r="U3" s="6">
        <v>2626.31</v>
      </c>
      <c r="V3" s="4" t="s">
        <v>28</v>
      </c>
      <c r="W3" s="8">
        <f t="shared" ref="W3:W36" si="2">+U3*0.03</f>
        <v>78.789299999999997</v>
      </c>
    </row>
    <row r="4" spans="1:23" ht="13.2" hidden="1" x14ac:dyDescent="0.25">
      <c r="A4" s="3">
        <v>12853</v>
      </c>
      <c r="B4" s="4" t="s">
        <v>18</v>
      </c>
      <c r="C4" s="4" t="s">
        <v>29</v>
      </c>
      <c r="D4" s="5">
        <v>46050</v>
      </c>
      <c r="E4" s="4" t="s">
        <v>30</v>
      </c>
      <c r="F4" s="3" t="s">
        <v>21</v>
      </c>
      <c r="G4" s="6">
        <v>11887.88</v>
      </c>
      <c r="H4" s="6">
        <v>1</v>
      </c>
      <c r="I4" s="6"/>
      <c r="J4" s="6">
        <v>1505.11</v>
      </c>
      <c r="K4" s="6">
        <v>928.18</v>
      </c>
      <c r="L4" s="6">
        <f t="shared" si="0"/>
        <v>8410.32</v>
      </c>
      <c r="M4" s="6">
        <v>3038.55</v>
      </c>
      <c r="N4" s="6">
        <v>250.58</v>
      </c>
      <c r="O4" s="6">
        <f t="shared" si="1"/>
        <v>250.58</v>
      </c>
      <c r="P4" s="6">
        <v>3226.98</v>
      </c>
      <c r="Q4" s="6">
        <v>5371.77</v>
      </c>
      <c r="R4" s="6">
        <v>8598.75</v>
      </c>
      <c r="S4" s="6">
        <v>7670.57</v>
      </c>
      <c r="T4" s="4" t="s">
        <v>31</v>
      </c>
      <c r="U4" s="6">
        <v>7093.64</v>
      </c>
      <c r="V4" s="4" t="s">
        <v>32</v>
      </c>
      <c r="W4" s="8">
        <f t="shared" si="2"/>
        <v>212.8092</v>
      </c>
    </row>
    <row r="5" spans="1:23" ht="13.2" hidden="1" x14ac:dyDescent="0.25">
      <c r="A5" s="3">
        <v>12851</v>
      </c>
      <c r="B5" s="4" t="s">
        <v>33</v>
      </c>
      <c r="C5" s="4" t="s">
        <v>34</v>
      </c>
      <c r="D5" s="5">
        <v>46052</v>
      </c>
      <c r="E5" s="4" t="s">
        <v>35</v>
      </c>
      <c r="F5" s="3" t="s">
        <v>21</v>
      </c>
      <c r="G5" s="6">
        <v>29665.38</v>
      </c>
      <c r="H5" s="6">
        <v>1</v>
      </c>
      <c r="I5" s="6"/>
      <c r="J5" s="6">
        <v>6225.57</v>
      </c>
      <c r="K5" s="6">
        <v>4852.8999999999996</v>
      </c>
      <c r="L5" s="6">
        <f t="shared" si="0"/>
        <v>20820.62</v>
      </c>
      <c r="M5" s="6">
        <v>4264.66</v>
      </c>
      <c r="N5" s="6">
        <v>4502.07</v>
      </c>
      <c r="O5" s="6">
        <f t="shared" si="1"/>
        <v>4502.07</v>
      </c>
      <c r="P5" s="6">
        <v>4342.6899999999996</v>
      </c>
      <c r="Q5" s="6">
        <v>16555.96</v>
      </c>
      <c r="R5" s="6">
        <v>20897.61</v>
      </c>
      <c r="S5" s="6">
        <v>16044.71</v>
      </c>
      <c r="T5" s="4" t="s">
        <v>36</v>
      </c>
      <c r="U5" s="6">
        <v>14672.04</v>
      </c>
      <c r="V5" s="4" t="s">
        <v>37</v>
      </c>
      <c r="W5" s="8">
        <f t="shared" si="2"/>
        <v>440.16120000000001</v>
      </c>
    </row>
    <row r="6" spans="1:23" ht="13.2" hidden="1" x14ac:dyDescent="0.25">
      <c r="A6" s="3">
        <v>12840</v>
      </c>
      <c r="B6" s="4" t="s">
        <v>33</v>
      </c>
      <c r="C6" s="4" t="s">
        <v>38</v>
      </c>
      <c r="D6" s="5">
        <v>46045</v>
      </c>
      <c r="E6" s="4" t="s">
        <v>39</v>
      </c>
      <c r="F6" s="3" t="s">
        <v>21</v>
      </c>
      <c r="G6" s="6">
        <v>9486.36</v>
      </c>
      <c r="H6" s="6">
        <v>1</v>
      </c>
      <c r="I6" s="6"/>
      <c r="J6" s="6">
        <v>1190.53</v>
      </c>
      <c r="K6" s="6">
        <v>1126.71</v>
      </c>
      <c r="L6" s="6">
        <f t="shared" si="0"/>
        <v>0</v>
      </c>
      <c r="M6" s="6">
        <v>0</v>
      </c>
      <c r="N6" s="6">
        <v>5590.08</v>
      </c>
      <c r="O6" s="6">
        <f t="shared" si="1"/>
        <v>5590.08</v>
      </c>
      <c r="P6" s="6">
        <v>3896.28</v>
      </c>
      <c r="Q6" s="6">
        <v>0</v>
      </c>
      <c r="R6" s="6">
        <v>3896.28</v>
      </c>
      <c r="S6" s="6">
        <v>2769.57</v>
      </c>
      <c r="T6" s="4" t="s">
        <v>40</v>
      </c>
      <c r="U6" s="6">
        <v>2705.75</v>
      </c>
      <c r="V6" s="4" t="s">
        <v>41</v>
      </c>
      <c r="W6" s="8">
        <f t="shared" si="2"/>
        <v>81.172499999999999</v>
      </c>
    </row>
    <row r="7" spans="1:23" ht="13.2" hidden="1" x14ac:dyDescent="0.25">
      <c r="A7" s="3">
        <v>12828</v>
      </c>
      <c r="B7" s="4" t="s">
        <v>18</v>
      </c>
      <c r="C7" s="4" t="s">
        <v>42</v>
      </c>
      <c r="D7" s="5">
        <v>46045</v>
      </c>
      <c r="E7" s="4" t="s">
        <v>43</v>
      </c>
      <c r="F7" s="3" t="s">
        <v>21</v>
      </c>
      <c r="G7" s="6">
        <v>5013.32</v>
      </c>
      <c r="H7" s="6">
        <v>1</v>
      </c>
      <c r="I7" s="6"/>
      <c r="J7" s="6">
        <v>513.85</v>
      </c>
      <c r="K7" s="6">
        <v>419.27</v>
      </c>
      <c r="L7" s="6">
        <v>0</v>
      </c>
      <c r="M7" s="6">
        <v>806.1</v>
      </c>
      <c r="N7" s="6">
        <v>0</v>
      </c>
      <c r="O7" s="6">
        <f t="shared" si="1"/>
        <v>0</v>
      </c>
      <c r="P7" s="6">
        <v>5013.32</v>
      </c>
      <c r="Q7" s="4" t="s">
        <v>44</v>
      </c>
      <c r="R7" s="6">
        <v>4207.22</v>
      </c>
      <c r="S7" s="6">
        <v>3787.95</v>
      </c>
      <c r="T7" s="4" t="s">
        <v>45</v>
      </c>
      <c r="U7" s="6">
        <v>3693.37</v>
      </c>
      <c r="V7" s="4" t="s">
        <v>46</v>
      </c>
      <c r="W7" s="8">
        <f t="shared" si="2"/>
        <v>110.80109999999999</v>
      </c>
    </row>
    <row r="8" spans="1:23" ht="13.2" hidden="1" x14ac:dyDescent="0.25">
      <c r="A8" s="3">
        <v>12803</v>
      </c>
      <c r="B8" s="4" t="s">
        <v>24</v>
      </c>
      <c r="C8" s="4" t="s">
        <v>47</v>
      </c>
      <c r="D8" s="5">
        <v>46042</v>
      </c>
      <c r="E8" s="4" t="s">
        <v>48</v>
      </c>
      <c r="F8" s="3" t="s">
        <v>21</v>
      </c>
      <c r="G8" s="6">
        <v>14420.32</v>
      </c>
      <c r="H8" s="6">
        <v>1</v>
      </c>
      <c r="I8" s="6"/>
      <c r="J8" s="6">
        <v>1628.39</v>
      </c>
      <c r="K8" s="6">
        <v>1631.22</v>
      </c>
      <c r="L8" s="6">
        <f t="shared" si="0"/>
        <v>0</v>
      </c>
      <c r="M8" s="6">
        <v>0</v>
      </c>
      <c r="N8" s="6">
        <v>10624.76</v>
      </c>
      <c r="O8" s="6">
        <f t="shared" si="1"/>
        <v>10624.76</v>
      </c>
      <c r="P8" s="6">
        <v>3795.56</v>
      </c>
      <c r="Q8" s="6">
        <v>0</v>
      </c>
      <c r="R8" s="6">
        <v>3795.56</v>
      </c>
      <c r="S8" s="6">
        <v>2164.34</v>
      </c>
      <c r="T8" s="4" t="s">
        <v>49</v>
      </c>
      <c r="U8" s="6">
        <v>2164.34</v>
      </c>
      <c r="V8" s="4" t="s">
        <v>49</v>
      </c>
      <c r="W8" s="8">
        <f t="shared" si="2"/>
        <v>64.930199999999999</v>
      </c>
    </row>
    <row r="9" spans="1:23" ht="13.2" hidden="1" x14ac:dyDescent="0.25">
      <c r="A9" s="3">
        <v>12801</v>
      </c>
      <c r="B9" s="4" t="s">
        <v>50</v>
      </c>
      <c r="C9" s="4" t="s">
        <v>51</v>
      </c>
      <c r="D9" s="5">
        <v>46043</v>
      </c>
      <c r="E9" s="4" t="s">
        <v>52</v>
      </c>
      <c r="F9" s="3" t="s">
        <v>21</v>
      </c>
      <c r="G9" s="6">
        <v>10939.5</v>
      </c>
      <c r="H9" s="6">
        <v>1</v>
      </c>
      <c r="I9" s="6"/>
      <c r="J9" s="6">
        <v>0</v>
      </c>
      <c r="K9" s="6">
        <v>0</v>
      </c>
      <c r="L9" s="6">
        <f t="shared" si="0"/>
        <v>0</v>
      </c>
      <c r="M9" s="6">
        <v>0</v>
      </c>
      <c r="N9" s="6">
        <v>10939.5</v>
      </c>
      <c r="O9" s="6">
        <f t="shared" si="1"/>
        <v>10939.5</v>
      </c>
      <c r="P9" s="6">
        <v>0</v>
      </c>
      <c r="Q9" s="6">
        <v>0</v>
      </c>
      <c r="R9" s="6">
        <v>0</v>
      </c>
      <c r="S9" s="6">
        <v>0</v>
      </c>
      <c r="T9" s="4" t="s">
        <v>53</v>
      </c>
      <c r="U9" s="6">
        <v>0</v>
      </c>
      <c r="V9" s="4" t="s">
        <v>53</v>
      </c>
      <c r="W9" s="8">
        <f t="shared" si="2"/>
        <v>0</v>
      </c>
    </row>
    <row r="10" spans="1:23" ht="13.2" hidden="1" x14ac:dyDescent="0.25">
      <c r="A10" s="3">
        <v>12794</v>
      </c>
      <c r="B10" s="4" t="s">
        <v>33</v>
      </c>
      <c r="C10" s="4" t="s">
        <v>38</v>
      </c>
      <c r="D10" s="5">
        <v>46045</v>
      </c>
      <c r="E10" s="4" t="s">
        <v>54</v>
      </c>
      <c r="F10" s="3" t="s">
        <v>21</v>
      </c>
      <c r="G10" s="6">
        <v>4758.78</v>
      </c>
      <c r="H10" s="6">
        <v>1</v>
      </c>
      <c r="I10" s="6"/>
      <c r="J10" s="6">
        <v>796.57</v>
      </c>
      <c r="K10" s="6">
        <v>763.35</v>
      </c>
      <c r="L10" s="6">
        <f t="shared" si="0"/>
        <v>0</v>
      </c>
      <c r="M10" s="6">
        <v>0</v>
      </c>
      <c r="N10" s="6">
        <v>2795.04</v>
      </c>
      <c r="O10" s="6">
        <f t="shared" si="1"/>
        <v>2795.04</v>
      </c>
      <c r="P10" s="6">
        <v>1963.74</v>
      </c>
      <c r="Q10" s="6">
        <v>0</v>
      </c>
      <c r="R10" s="6">
        <v>1963.74</v>
      </c>
      <c r="S10" s="6">
        <v>1200.3900000000001</v>
      </c>
      <c r="T10" s="4" t="s">
        <v>55</v>
      </c>
      <c r="U10" s="6">
        <v>1167.17</v>
      </c>
      <c r="V10" s="4" t="s">
        <v>56</v>
      </c>
      <c r="W10" s="8">
        <f t="shared" si="2"/>
        <v>35.015100000000004</v>
      </c>
    </row>
    <row r="11" spans="1:23" ht="13.2" hidden="1" x14ac:dyDescent="0.25">
      <c r="A11" s="3">
        <v>12787</v>
      </c>
      <c r="B11" s="4" t="s">
        <v>50</v>
      </c>
      <c r="C11" s="4" t="s">
        <v>51</v>
      </c>
      <c r="D11" s="5">
        <v>46051</v>
      </c>
      <c r="E11" s="4" t="s">
        <v>57</v>
      </c>
      <c r="F11" s="3" t="s">
        <v>21</v>
      </c>
      <c r="G11" s="6">
        <v>2131.9699999999998</v>
      </c>
      <c r="H11" s="6">
        <v>1</v>
      </c>
      <c r="I11" s="6"/>
      <c r="J11" s="6">
        <v>402.96</v>
      </c>
      <c r="K11" s="6">
        <v>440.71</v>
      </c>
      <c r="L11" s="6">
        <f t="shared" si="0"/>
        <v>0</v>
      </c>
      <c r="M11" s="6">
        <v>0</v>
      </c>
      <c r="N11" s="6">
        <v>1191.9100000000001</v>
      </c>
      <c r="O11" s="6">
        <f t="shared" si="1"/>
        <v>1191.9100000000001</v>
      </c>
      <c r="P11" s="6">
        <v>940.06</v>
      </c>
      <c r="Q11" s="6">
        <v>0</v>
      </c>
      <c r="R11" s="6">
        <v>940.06</v>
      </c>
      <c r="S11" s="6">
        <v>499.35</v>
      </c>
      <c r="T11" s="4" t="s">
        <v>58</v>
      </c>
      <c r="U11" s="6">
        <v>499.35</v>
      </c>
      <c r="V11" s="4" t="s">
        <v>58</v>
      </c>
      <c r="W11" s="8">
        <f t="shared" si="2"/>
        <v>14.980499999999999</v>
      </c>
    </row>
    <row r="12" spans="1:23" ht="13.2" hidden="1" x14ac:dyDescent="0.25">
      <c r="A12" s="3">
        <v>12784</v>
      </c>
      <c r="B12" s="4" t="s">
        <v>24</v>
      </c>
      <c r="C12" s="4" t="s">
        <v>59</v>
      </c>
      <c r="D12" s="5">
        <v>46051</v>
      </c>
      <c r="E12" s="4" t="s">
        <v>60</v>
      </c>
      <c r="F12" s="3" t="s">
        <v>21</v>
      </c>
      <c r="G12" s="6">
        <v>2902.5</v>
      </c>
      <c r="H12" s="6">
        <v>1</v>
      </c>
      <c r="I12" s="6"/>
      <c r="J12" s="6">
        <v>510.13</v>
      </c>
      <c r="K12" s="6">
        <v>555.84</v>
      </c>
      <c r="L12" s="6">
        <f t="shared" si="0"/>
        <v>0</v>
      </c>
      <c r="M12" s="6">
        <v>0</v>
      </c>
      <c r="N12" s="6">
        <v>1609.71</v>
      </c>
      <c r="O12" s="6">
        <f t="shared" si="1"/>
        <v>1609.71</v>
      </c>
      <c r="P12" s="6">
        <v>1292.79</v>
      </c>
      <c r="Q12" s="6">
        <v>0</v>
      </c>
      <c r="R12" s="6">
        <v>1292.79</v>
      </c>
      <c r="S12" s="6">
        <v>736.95</v>
      </c>
      <c r="T12" s="4" t="s">
        <v>61</v>
      </c>
      <c r="U12" s="6">
        <v>736.95</v>
      </c>
      <c r="V12" s="4" t="s">
        <v>61</v>
      </c>
      <c r="W12" s="8">
        <f t="shared" si="2"/>
        <v>22.108499999999999</v>
      </c>
    </row>
    <row r="13" spans="1:23" ht="13.2" hidden="1" x14ac:dyDescent="0.25">
      <c r="A13" s="3">
        <v>12783</v>
      </c>
      <c r="B13" s="4" t="s">
        <v>18</v>
      </c>
      <c r="C13" s="4" t="s">
        <v>29</v>
      </c>
      <c r="D13" s="5">
        <v>46036</v>
      </c>
      <c r="E13" s="4" t="s">
        <v>62</v>
      </c>
      <c r="F13" s="3" t="s">
        <v>21</v>
      </c>
      <c r="G13" s="6">
        <v>11514.7</v>
      </c>
      <c r="H13" s="6">
        <v>1</v>
      </c>
      <c r="I13" s="6"/>
      <c r="J13" s="6">
        <v>1486.39</v>
      </c>
      <c r="K13" s="6">
        <v>1023.28</v>
      </c>
      <c r="L13" s="6">
        <f t="shared" si="0"/>
        <v>8105.84</v>
      </c>
      <c r="M13" s="6">
        <v>3033.45</v>
      </c>
      <c r="N13" s="6">
        <v>851.61</v>
      </c>
      <c r="O13" s="6">
        <f t="shared" si="1"/>
        <v>851.61</v>
      </c>
      <c r="P13" s="6">
        <v>2557.25</v>
      </c>
      <c r="Q13" s="6">
        <v>5072.3900000000003</v>
      </c>
      <c r="R13" s="6">
        <v>7629.64</v>
      </c>
      <c r="S13" s="6">
        <v>6606.36</v>
      </c>
      <c r="T13" s="4" t="s">
        <v>63</v>
      </c>
      <c r="U13" s="6">
        <v>6143.25</v>
      </c>
      <c r="V13" s="4" t="s">
        <v>64</v>
      </c>
      <c r="W13" s="8">
        <f t="shared" si="2"/>
        <v>184.29749999999999</v>
      </c>
    </row>
    <row r="14" spans="1:23" ht="13.2" hidden="1" x14ac:dyDescent="0.25">
      <c r="A14" s="3">
        <v>12781</v>
      </c>
      <c r="B14" s="4" t="s">
        <v>24</v>
      </c>
      <c r="C14" s="4" t="s">
        <v>59</v>
      </c>
      <c r="D14" s="5">
        <v>46049</v>
      </c>
      <c r="E14" s="4" t="s">
        <v>65</v>
      </c>
      <c r="F14" s="3" t="s">
        <v>21</v>
      </c>
      <c r="G14" s="6">
        <v>22934</v>
      </c>
      <c r="H14" s="6">
        <v>1</v>
      </c>
      <c r="I14" s="6"/>
      <c r="J14" s="6">
        <v>2396.5300000000002</v>
      </c>
      <c r="K14" s="6">
        <v>2535.37</v>
      </c>
      <c r="L14" s="6">
        <f t="shared" si="0"/>
        <v>0</v>
      </c>
      <c r="M14" s="6">
        <v>0</v>
      </c>
      <c r="N14" s="6">
        <v>12028.25</v>
      </c>
      <c r="O14" s="6">
        <f t="shared" si="1"/>
        <v>12028.25</v>
      </c>
      <c r="P14" s="6">
        <v>10905.75</v>
      </c>
      <c r="Q14" s="6">
        <v>0</v>
      </c>
      <c r="R14" s="6">
        <v>10905.75</v>
      </c>
      <c r="S14" s="6">
        <v>8370.3799999999992</v>
      </c>
      <c r="T14" s="4" t="s">
        <v>66</v>
      </c>
      <c r="U14" s="6">
        <v>8370.3799999999992</v>
      </c>
      <c r="V14" s="4" t="s">
        <v>66</v>
      </c>
      <c r="W14" s="8">
        <f t="shared" si="2"/>
        <v>251.11139999999997</v>
      </c>
    </row>
    <row r="15" spans="1:23" ht="13.2" hidden="1" x14ac:dyDescent="0.25">
      <c r="A15" s="3">
        <v>12776</v>
      </c>
      <c r="B15" s="4" t="s">
        <v>33</v>
      </c>
      <c r="C15" s="4" t="s">
        <v>67</v>
      </c>
      <c r="D15" s="5">
        <v>46051</v>
      </c>
      <c r="E15" s="4" t="s">
        <v>68</v>
      </c>
      <c r="F15" s="3" t="s">
        <v>21</v>
      </c>
      <c r="G15" s="6">
        <v>132514.04</v>
      </c>
      <c r="H15" s="6">
        <v>1</v>
      </c>
      <c r="I15" s="6"/>
      <c r="J15" s="6">
        <v>17984.28</v>
      </c>
      <c r="K15" s="6">
        <v>15386.23</v>
      </c>
      <c r="L15" s="6">
        <f t="shared" si="0"/>
        <v>56740.880000000005</v>
      </c>
      <c r="M15" s="6">
        <v>17885.37</v>
      </c>
      <c r="N15" s="6">
        <v>47437.46</v>
      </c>
      <c r="O15" s="6">
        <f t="shared" si="1"/>
        <v>47437.46</v>
      </c>
      <c r="P15" s="6">
        <v>28335.7</v>
      </c>
      <c r="Q15" s="6">
        <v>38855.51</v>
      </c>
      <c r="R15" s="6">
        <v>67103.710000000006</v>
      </c>
      <c r="S15" s="6">
        <v>51717.48</v>
      </c>
      <c r="T15" s="4" t="s">
        <v>69</v>
      </c>
      <c r="U15" s="6">
        <v>49119.43</v>
      </c>
      <c r="V15" s="4" t="s">
        <v>70</v>
      </c>
      <c r="W15" s="8">
        <f t="shared" si="2"/>
        <v>1473.5828999999999</v>
      </c>
    </row>
    <row r="16" spans="1:23" ht="13.2" hidden="1" x14ac:dyDescent="0.25">
      <c r="A16" s="3">
        <v>12769</v>
      </c>
      <c r="B16" s="4" t="s">
        <v>33</v>
      </c>
      <c r="C16" s="4" t="s">
        <v>67</v>
      </c>
      <c r="D16" s="5">
        <v>46051</v>
      </c>
      <c r="E16" s="4" t="s">
        <v>71</v>
      </c>
      <c r="F16" s="3" t="s">
        <v>21</v>
      </c>
      <c r="G16" s="6">
        <v>14153.51</v>
      </c>
      <c r="H16" s="6">
        <v>1</v>
      </c>
      <c r="I16" s="6"/>
      <c r="J16" s="6">
        <v>1634.87</v>
      </c>
      <c r="K16" s="6">
        <v>1494.82</v>
      </c>
      <c r="L16" s="6">
        <f t="shared" si="0"/>
        <v>0</v>
      </c>
      <c r="M16" s="6">
        <v>0</v>
      </c>
      <c r="N16" s="6">
        <v>8421.68</v>
      </c>
      <c r="O16" s="6">
        <f t="shared" si="1"/>
        <v>8421.68</v>
      </c>
      <c r="P16" s="6">
        <v>5731.83</v>
      </c>
      <c r="Q16" s="6">
        <v>0</v>
      </c>
      <c r="R16" s="6">
        <v>5731.83</v>
      </c>
      <c r="S16" s="6">
        <v>4237.01</v>
      </c>
      <c r="T16" s="4" t="s">
        <v>72</v>
      </c>
      <c r="U16" s="6">
        <v>4096.96</v>
      </c>
      <c r="V16" s="4" t="s">
        <v>73</v>
      </c>
      <c r="W16" s="8">
        <f t="shared" si="2"/>
        <v>122.9088</v>
      </c>
    </row>
    <row r="17" spans="1:23" ht="13.2" hidden="1" x14ac:dyDescent="0.25">
      <c r="A17" s="3">
        <v>12759</v>
      </c>
      <c r="B17" s="4" t="s">
        <v>74</v>
      </c>
      <c r="C17" s="4" t="s">
        <v>51</v>
      </c>
      <c r="D17" s="5">
        <v>46031</v>
      </c>
      <c r="E17" s="4" t="s">
        <v>75</v>
      </c>
      <c r="F17" s="3" t="s">
        <v>21</v>
      </c>
      <c r="G17" s="6">
        <v>3900</v>
      </c>
      <c r="H17" s="6">
        <v>1</v>
      </c>
      <c r="I17" s="6"/>
      <c r="J17" s="6">
        <v>730</v>
      </c>
      <c r="K17" s="6">
        <v>874</v>
      </c>
      <c r="L17" s="6">
        <f t="shared" si="0"/>
        <v>0</v>
      </c>
      <c r="M17" s="6">
        <v>0</v>
      </c>
      <c r="N17" s="6">
        <v>3900</v>
      </c>
      <c r="O17" s="6">
        <f t="shared" si="1"/>
        <v>3900</v>
      </c>
      <c r="P17" s="6">
        <v>0</v>
      </c>
      <c r="Q17" s="6">
        <v>0</v>
      </c>
      <c r="R17" s="6">
        <v>0</v>
      </c>
      <c r="S17" s="4" t="s">
        <v>76</v>
      </c>
      <c r="T17" s="4" t="s">
        <v>77</v>
      </c>
      <c r="U17" s="4" t="s">
        <v>76</v>
      </c>
      <c r="V17" s="4" t="s">
        <v>77</v>
      </c>
      <c r="W17" s="8">
        <v>0</v>
      </c>
    </row>
    <row r="18" spans="1:23" ht="13.2" hidden="1" x14ac:dyDescent="0.25">
      <c r="A18" s="3">
        <v>12756</v>
      </c>
      <c r="B18" s="4" t="s">
        <v>24</v>
      </c>
      <c r="C18" s="4" t="s">
        <v>78</v>
      </c>
      <c r="D18" s="5">
        <v>46030</v>
      </c>
      <c r="E18" s="4" t="s">
        <v>79</v>
      </c>
      <c r="F18" s="3" t="s">
        <v>21</v>
      </c>
      <c r="G18" s="6">
        <v>3788.24</v>
      </c>
      <c r="H18" s="6">
        <v>1</v>
      </c>
      <c r="I18" s="6"/>
      <c r="J18" s="6">
        <v>482.29</v>
      </c>
      <c r="K18" s="6">
        <v>506.35</v>
      </c>
      <c r="L18" s="6">
        <f t="shared" si="0"/>
        <v>0</v>
      </c>
      <c r="M18" s="6">
        <v>0</v>
      </c>
      <c r="N18" s="6">
        <v>1709.04</v>
      </c>
      <c r="O18" s="6">
        <f t="shared" si="1"/>
        <v>1709.04</v>
      </c>
      <c r="P18" s="6">
        <v>2079.1999999999998</v>
      </c>
      <c r="Q18" s="6">
        <v>0</v>
      </c>
      <c r="R18" s="6">
        <v>2079.1999999999998</v>
      </c>
      <c r="S18" s="6">
        <v>1572.85</v>
      </c>
      <c r="T18" s="4" t="s">
        <v>80</v>
      </c>
      <c r="U18" s="6">
        <v>1572.85</v>
      </c>
      <c r="V18" s="4" t="s">
        <v>80</v>
      </c>
      <c r="W18" s="8">
        <f t="shared" si="2"/>
        <v>47.185499999999998</v>
      </c>
    </row>
    <row r="19" spans="1:23" ht="13.2" hidden="1" x14ac:dyDescent="0.25">
      <c r="A19" s="3">
        <v>12751</v>
      </c>
      <c r="B19" s="4" t="s">
        <v>33</v>
      </c>
      <c r="C19" s="4" t="s">
        <v>81</v>
      </c>
      <c r="D19" s="5">
        <v>46050</v>
      </c>
      <c r="E19" s="4" t="s">
        <v>82</v>
      </c>
      <c r="F19" s="3" t="s">
        <v>21</v>
      </c>
      <c r="G19" s="6">
        <v>17851.849999999999</v>
      </c>
      <c r="H19" s="6">
        <v>1</v>
      </c>
      <c r="I19" s="6"/>
      <c r="J19" s="6">
        <v>2171.34</v>
      </c>
      <c r="K19" s="6">
        <v>1812.69</v>
      </c>
      <c r="L19" s="6">
        <f t="shared" si="0"/>
        <v>4052.92</v>
      </c>
      <c r="M19" s="6">
        <v>2022.27</v>
      </c>
      <c r="N19" s="6">
        <v>7297.51</v>
      </c>
      <c r="O19" s="6">
        <f t="shared" si="1"/>
        <v>7297.51</v>
      </c>
      <c r="P19" s="6">
        <v>6501.42</v>
      </c>
      <c r="Q19" s="6">
        <v>2030.65</v>
      </c>
      <c r="R19" s="6">
        <v>8531.08</v>
      </c>
      <c r="S19" s="6">
        <v>6718.39</v>
      </c>
      <c r="T19" s="4" t="s">
        <v>83</v>
      </c>
      <c r="U19" s="6">
        <v>6359.74</v>
      </c>
      <c r="V19" s="4" t="s">
        <v>84</v>
      </c>
      <c r="W19" s="8">
        <f t="shared" si="2"/>
        <v>190.79219999999998</v>
      </c>
    </row>
    <row r="20" spans="1:23" ht="13.2" hidden="1" x14ac:dyDescent="0.25">
      <c r="A20" s="3">
        <v>12735</v>
      </c>
      <c r="B20" s="4" t="s">
        <v>33</v>
      </c>
      <c r="C20" s="4" t="s">
        <v>38</v>
      </c>
      <c r="D20" s="5">
        <v>46031</v>
      </c>
      <c r="E20" s="4" t="s">
        <v>85</v>
      </c>
      <c r="F20" s="3" t="s">
        <v>21</v>
      </c>
      <c r="G20" s="6">
        <v>9781.4599999999991</v>
      </c>
      <c r="H20" s="6">
        <v>1</v>
      </c>
      <c r="I20" s="6"/>
      <c r="J20" s="6">
        <v>1192.08</v>
      </c>
      <c r="K20" s="6">
        <v>1032.1500000000001</v>
      </c>
      <c r="L20" s="6">
        <f t="shared" si="0"/>
        <v>0</v>
      </c>
      <c r="M20" s="6">
        <v>0</v>
      </c>
      <c r="N20" s="6">
        <v>4862.72</v>
      </c>
      <c r="O20" s="6">
        <f t="shared" si="1"/>
        <v>4862.72</v>
      </c>
      <c r="P20" s="6">
        <v>4918.74</v>
      </c>
      <c r="Q20" s="6">
        <v>0</v>
      </c>
      <c r="R20" s="6">
        <v>4918.74</v>
      </c>
      <c r="S20" s="6">
        <v>3886.59</v>
      </c>
      <c r="T20" s="4" t="s">
        <v>86</v>
      </c>
      <c r="U20" s="6">
        <v>3726.66</v>
      </c>
      <c r="V20" s="4" t="s">
        <v>87</v>
      </c>
      <c r="W20" s="8">
        <f t="shared" si="2"/>
        <v>111.79979999999999</v>
      </c>
    </row>
    <row r="21" spans="1:23" ht="13.2" hidden="1" x14ac:dyDescent="0.25">
      <c r="A21" s="3">
        <v>12724</v>
      </c>
      <c r="B21" s="4" t="s">
        <v>33</v>
      </c>
      <c r="C21" s="4" t="s">
        <v>38</v>
      </c>
      <c r="D21" s="5">
        <v>46035</v>
      </c>
      <c r="E21" s="4" t="s">
        <v>88</v>
      </c>
      <c r="F21" s="3" t="s">
        <v>21</v>
      </c>
      <c r="G21" s="6">
        <v>2366.67</v>
      </c>
      <c r="H21" s="6">
        <v>1</v>
      </c>
      <c r="I21" s="6"/>
      <c r="J21" s="6">
        <v>580.98</v>
      </c>
      <c r="K21" s="6">
        <v>575.44000000000005</v>
      </c>
      <c r="L21" s="6">
        <f t="shared" si="0"/>
        <v>0</v>
      </c>
      <c r="M21" s="6">
        <v>0</v>
      </c>
      <c r="N21" s="6">
        <v>1349.52</v>
      </c>
      <c r="O21" s="6">
        <f t="shared" si="1"/>
        <v>1349.52</v>
      </c>
      <c r="P21" s="6">
        <v>1017.15</v>
      </c>
      <c r="Q21" s="6">
        <v>0</v>
      </c>
      <c r="R21" s="6">
        <v>1016.25</v>
      </c>
      <c r="S21" s="6">
        <v>440.81</v>
      </c>
      <c r="T21" s="4" t="s">
        <v>89</v>
      </c>
      <c r="U21" s="6">
        <v>435.27</v>
      </c>
      <c r="V21" s="4" t="s">
        <v>90</v>
      </c>
      <c r="W21" s="8">
        <f t="shared" si="2"/>
        <v>13.0581</v>
      </c>
    </row>
    <row r="22" spans="1:23" ht="13.2" hidden="1" x14ac:dyDescent="0.25">
      <c r="A22" s="3">
        <v>12719</v>
      </c>
      <c r="B22" s="4" t="s">
        <v>50</v>
      </c>
      <c r="C22" s="4" t="s">
        <v>91</v>
      </c>
      <c r="D22" s="5">
        <v>46050</v>
      </c>
      <c r="E22" s="4" t="s">
        <v>92</v>
      </c>
      <c r="F22" s="3" t="s">
        <v>21</v>
      </c>
      <c r="G22" s="6">
        <v>11810.25</v>
      </c>
      <c r="H22" s="6">
        <v>1</v>
      </c>
      <c r="I22" s="6"/>
      <c r="J22" s="6">
        <v>1797.55</v>
      </c>
      <c r="K22" s="6">
        <v>1719.16</v>
      </c>
      <c r="L22" s="6">
        <f t="shared" si="0"/>
        <v>0</v>
      </c>
      <c r="M22" s="6">
        <v>0</v>
      </c>
      <c r="N22" s="6">
        <v>7732.44</v>
      </c>
      <c r="O22" s="6">
        <f t="shared" si="1"/>
        <v>7732.44</v>
      </c>
      <c r="P22" s="6">
        <v>4077.81</v>
      </c>
      <c r="Q22" s="6">
        <v>0</v>
      </c>
      <c r="R22" s="6">
        <v>4077.81</v>
      </c>
      <c r="S22" s="6">
        <v>2358.65</v>
      </c>
      <c r="T22" s="4" t="s">
        <v>93</v>
      </c>
      <c r="U22" s="6">
        <v>2280.2600000000002</v>
      </c>
      <c r="V22" s="4" t="s">
        <v>94</v>
      </c>
      <c r="W22" s="8">
        <f t="shared" si="2"/>
        <v>68.407800000000009</v>
      </c>
    </row>
    <row r="23" spans="1:23" ht="13.2" hidden="1" x14ac:dyDescent="0.25">
      <c r="A23" s="3">
        <v>12714</v>
      </c>
      <c r="B23" s="4" t="s">
        <v>33</v>
      </c>
      <c r="C23" s="4" t="s">
        <v>38</v>
      </c>
      <c r="D23" s="5">
        <v>46035</v>
      </c>
      <c r="E23" s="4" t="s">
        <v>95</v>
      </c>
      <c r="F23" s="3" t="s">
        <v>21</v>
      </c>
      <c r="G23" s="6">
        <v>4891.01</v>
      </c>
      <c r="H23" s="6">
        <v>1</v>
      </c>
      <c r="I23" s="6"/>
      <c r="J23" s="6">
        <v>688.14</v>
      </c>
      <c r="K23" s="6">
        <v>623.91999999999996</v>
      </c>
      <c r="L23" s="6">
        <f t="shared" si="0"/>
        <v>0</v>
      </c>
      <c r="M23" s="6">
        <v>0</v>
      </c>
      <c r="N23" s="6">
        <v>2491.71</v>
      </c>
      <c r="O23" s="6">
        <f t="shared" si="1"/>
        <v>2491.71</v>
      </c>
      <c r="P23" s="6">
        <v>2399.3000000000002</v>
      </c>
      <c r="Q23" s="6">
        <v>0</v>
      </c>
      <c r="R23" s="6">
        <v>1697.8</v>
      </c>
      <c r="S23" s="6">
        <v>1073.8800000000001</v>
      </c>
      <c r="T23" s="4" t="s">
        <v>96</v>
      </c>
      <c r="U23" s="6">
        <v>1009.66</v>
      </c>
      <c r="V23" s="4" t="s">
        <v>97</v>
      </c>
      <c r="W23" s="8">
        <f t="shared" si="2"/>
        <v>30.2898</v>
      </c>
    </row>
    <row r="24" spans="1:23" ht="13.2" hidden="1" x14ac:dyDescent="0.25">
      <c r="A24" s="3">
        <v>12708</v>
      </c>
      <c r="B24" s="4" t="s">
        <v>50</v>
      </c>
      <c r="C24" s="4" t="s">
        <v>91</v>
      </c>
      <c r="D24" s="5">
        <v>46034</v>
      </c>
      <c r="E24" s="4" t="s">
        <v>98</v>
      </c>
      <c r="F24" s="3" t="s">
        <v>21</v>
      </c>
      <c r="G24" s="6">
        <v>2944.5</v>
      </c>
      <c r="H24" s="6">
        <v>1</v>
      </c>
      <c r="I24" s="6"/>
      <c r="J24" s="6">
        <v>599.70000000000005</v>
      </c>
      <c r="K24" s="6">
        <v>595.14</v>
      </c>
      <c r="L24" s="6">
        <f t="shared" si="0"/>
        <v>0</v>
      </c>
      <c r="M24" s="6">
        <v>0</v>
      </c>
      <c r="N24" s="6">
        <v>1816.5</v>
      </c>
      <c r="O24" s="6">
        <f t="shared" si="1"/>
        <v>1816.5</v>
      </c>
      <c r="P24" s="6">
        <v>1128</v>
      </c>
      <c r="Q24" s="6">
        <v>0</v>
      </c>
      <c r="R24" s="6">
        <v>1126.2</v>
      </c>
      <c r="S24" s="6">
        <v>531.05999999999995</v>
      </c>
      <c r="T24" s="4" t="s">
        <v>99</v>
      </c>
      <c r="U24" s="6">
        <v>526.5</v>
      </c>
      <c r="V24" s="4" t="s">
        <v>100</v>
      </c>
      <c r="W24" s="8">
        <f t="shared" si="2"/>
        <v>15.795</v>
      </c>
    </row>
    <row r="25" spans="1:23" ht="13.2" hidden="1" x14ac:dyDescent="0.25">
      <c r="A25" s="3">
        <v>12703</v>
      </c>
      <c r="B25" s="4" t="s">
        <v>18</v>
      </c>
      <c r="C25" s="4" t="s">
        <v>101</v>
      </c>
      <c r="D25" s="5">
        <v>46042</v>
      </c>
      <c r="E25" s="4" t="s">
        <v>102</v>
      </c>
      <c r="F25" s="3" t="s">
        <v>21</v>
      </c>
      <c r="G25" s="6">
        <v>57980.51</v>
      </c>
      <c r="H25" s="6">
        <v>1</v>
      </c>
      <c r="I25" s="6"/>
      <c r="J25" s="6">
        <v>7077.39</v>
      </c>
      <c r="K25" s="6">
        <v>2169.14</v>
      </c>
      <c r="L25" s="6">
        <f t="shared" si="0"/>
        <v>4052.92</v>
      </c>
      <c r="M25" s="6">
        <v>2781.75</v>
      </c>
      <c r="N25" s="6">
        <v>8343.5300000000007</v>
      </c>
      <c r="O25" s="6">
        <f t="shared" si="1"/>
        <v>8343.5300000000007</v>
      </c>
      <c r="P25" s="6">
        <v>45584.06</v>
      </c>
      <c r="Q25" s="6">
        <v>1271.17</v>
      </c>
      <c r="R25" s="6">
        <v>46855.23</v>
      </c>
      <c r="S25" s="6">
        <v>44686.09</v>
      </c>
      <c r="T25" s="4" t="s">
        <v>103</v>
      </c>
      <c r="U25" s="6">
        <v>39777.839999999997</v>
      </c>
      <c r="V25" s="4" t="s">
        <v>104</v>
      </c>
      <c r="W25" s="8">
        <f t="shared" si="2"/>
        <v>1193.3351999999998</v>
      </c>
    </row>
    <row r="26" spans="1:23" ht="13.2" hidden="1" x14ac:dyDescent="0.25">
      <c r="A26" s="3">
        <v>12682</v>
      </c>
      <c r="B26" s="4" t="s">
        <v>33</v>
      </c>
      <c r="C26" s="4" t="s">
        <v>105</v>
      </c>
      <c r="D26" s="5">
        <v>46045</v>
      </c>
      <c r="E26" s="4" t="s">
        <v>106</v>
      </c>
      <c r="F26" s="3" t="s">
        <v>21</v>
      </c>
      <c r="G26" s="6">
        <v>306878.08000000002</v>
      </c>
      <c r="H26" s="6">
        <v>1</v>
      </c>
      <c r="I26" s="6"/>
      <c r="J26" s="6">
        <v>34368.910000000003</v>
      </c>
      <c r="K26" s="6">
        <v>42341</v>
      </c>
      <c r="L26" s="6">
        <f t="shared" si="0"/>
        <v>101521.32</v>
      </c>
      <c r="M26" s="6">
        <v>50838.01</v>
      </c>
      <c r="N26" s="6">
        <v>174539.69</v>
      </c>
      <c r="O26" s="6">
        <f t="shared" si="1"/>
        <v>174539.69</v>
      </c>
      <c r="P26" s="6">
        <v>30817.07</v>
      </c>
      <c r="Q26" s="6">
        <v>50683.31</v>
      </c>
      <c r="R26" s="6">
        <v>81409.06</v>
      </c>
      <c r="S26" s="6">
        <v>39068.06</v>
      </c>
      <c r="T26" s="4" t="s">
        <v>107</v>
      </c>
      <c r="U26" s="6">
        <v>39068.06</v>
      </c>
      <c r="V26" s="4" t="s">
        <v>107</v>
      </c>
      <c r="W26" s="8">
        <v>0</v>
      </c>
    </row>
    <row r="27" spans="1:23" ht="13.2" hidden="1" x14ac:dyDescent="0.25">
      <c r="A27" s="3">
        <v>12645</v>
      </c>
      <c r="B27" s="4" t="s">
        <v>33</v>
      </c>
      <c r="C27" s="4" t="s">
        <v>38</v>
      </c>
      <c r="D27" s="5">
        <v>46031</v>
      </c>
      <c r="E27" s="4" t="s">
        <v>108</v>
      </c>
      <c r="F27" s="3" t="s">
        <v>21</v>
      </c>
      <c r="G27" s="6">
        <v>4891.01</v>
      </c>
      <c r="H27" s="6">
        <v>1</v>
      </c>
      <c r="I27" s="6"/>
      <c r="J27" s="6">
        <v>688.14</v>
      </c>
      <c r="K27" s="6">
        <v>623.91999999999996</v>
      </c>
      <c r="L27" s="6">
        <f t="shared" si="0"/>
        <v>0</v>
      </c>
      <c r="M27" s="6">
        <v>0</v>
      </c>
      <c r="N27" s="6">
        <v>2491.71</v>
      </c>
      <c r="O27" s="6">
        <f t="shared" si="1"/>
        <v>2491.71</v>
      </c>
      <c r="P27" s="6">
        <v>2399.3000000000002</v>
      </c>
      <c r="Q27" s="6">
        <v>0</v>
      </c>
      <c r="R27" s="6">
        <v>1697.8</v>
      </c>
      <c r="S27" s="6">
        <v>1073.8800000000001</v>
      </c>
      <c r="T27" s="4" t="s">
        <v>96</v>
      </c>
      <c r="U27" s="6">
        <v>1009.66</v>
      </c>
      <c r="V27" s="4" t="s">
        <v>97</v>
      </c>
      <c r="W27" s="8">
        <f t="shared" si="2"/>
        <v>30.2898</v>
      </c>
    </row>
    <row r="28" spans="1:23" ht="13.2" hidden="1" x14ac:dyDescent="0.25">
      <c r="A28" s="3">
        <v>12563</v>
      </c>
      <c r="B28" s="4" t="s">
        <v>24</v>
      </c>
      <c r="C28" s="4" t="s">
        <v>59</v>
      </c>
      <c r="D28" s="5">
        <v>46028</v>
      </c>
      <c r="E28" s="4" t="s">
        <v>109</v>
      </c>
      <c r="F28" s="3" t="s">
        <v>21</v>
      </c>
      <c r="G28" s="6">
        <v>263310.36</v>
      </c>
      <c r="H28" s="6">
        <v>1</v>
      </c>
      <c r="I28" s="6"/>
      <c r="J28" s="6">
        <v>17956.23</v>
      </c>
      <c r="K28" s="6">
        <v>23406.95</v>
      </c>
      <c r="L28" s="6">
        <f t="shared" si="0"/>
        <v>0</v>
      </c>
      <c r="M28" s="6">
        <v>0</v>
      </c>
      <c r="N28" s="6">
        <v>121878.66</v>
      </c>
      <c r="O28" s="6">
        <f t="shared" si="1"/>
        <v>121878.66</v>
      </c>
      <c r="P28" s="6">
        <v>141431.70000000001</v>
      </c>
      <c r="Q28" s="6">
        <v>0</v>
      </c>
      <c r="R28" s="6">
        <v>140588.14000000001</v>
      </c>
      <c r="S28" s="6">
        <v>117181.19</v>
      </c>
      <c r="T28" s="4" t="s">
        <v>110</v>
      </c>
      <c r="U28" s="6">
        <v>117181.19</v>
      </c>
      <c r="V28" s="4" t="s">
        <v>110</v>
      </c>
      <c r="W28" s="8">
        <f t="shared" si="2"/>
        <v>3515.4357</v>
      </c>
    </row>
    <row r="29" spans="1:23" ht="13.2" hidden="1" x14ac:dyDescent="0.25">
      <c r="A29" s="3">
        <v>12426</v>
      </c>
      <c r="B29" s="4" t="s">
        <v>50</v>
      </c>
      <c r="C29" s="4" t="s">
        <v>51</v>
      </c>
      <c r="D29" s="5">
        <v>46052</v>
      </c>
      <c r="E29" s="4" t="s">
        <v>111</v>
      </c>
      <c r="F29" s="3" t="s">
        <v>21</v>
      </c>
      <c r="G29" s="6">
        <v>238150.37</v>
      </c>
      <c r="H29" s="6">
        <v>1</v>
      </c>
      <c r="I29" s="6"/>
      <c r="J29" s="6">
        <v>28625.93</v>
      </c>
      <c r="K29" s="6">
        <v>25569.96</v>
      </c>
      <c r="L29" s="6">
        <f t="shared" si="0"/>
        <v>56950.61</v>
      </c>
      <c r="M29" s="6">
        <v>33592.879999999997</v>
      </c>
      <c r="N29" s="6">
        <v>114159</v>
      </c>
      <c r="O29" s="6">
        <f t="shared" si="1"/>
        <v>114159</v>
      </c>
      <c r="P29" s="6">
        <v>67040.759999999995</v>
      </c>
      <c r="Q29" s="6">
        <v>23357.73</v>
      </c>
      <c r="R29" s="6">
        <v>89159.71</v>
      </c>
      <c r="S29" s="6">
        <v>63589.75</v>
      </c>
      <c r="T29" s="4" t="s">
        <v>112</v>
      </c>
      <c r="U29" s="6">
        <v>60533.78</v>
      </c>
      <c r="V29" s="4" t="s">
        <v>113</v>
      </c>
      <c r="W29" s="8">
        <f t="shared" si="2"/>
        <v>1816.0133999999998</v>
      </c>
    </row>
    <row r="30" spans="1:23" ht="13.2" hidden="1" x14ac:dyDescent="0.25">
      <c r="A30" s="3">
        <v>12372</v>
      </c>
      <c r="B30" s="4" t="s">
        <v>24</v>
      </c>
      <c r="C30" s="4" t="s">
        <v>59</v>
      </c>
      <c r="D30" s="5">
        <v>46052</v>
      </c>
      <c r="E30" s="4" t="s">
        <v>114</v>
      </c>
      <c r="F30" s="3" t="s">
        <v>21</v>
      </c>
      <c r="G30" s="6">
        <v>925190.62</v>
      </c>
      <c r="H30" s="6">
        <v>1</v>
      </c>
      <c r="I30" s="6"/>
      <c r="J30" s="6">
        <v>91420.12</v>
      </c>
      <c r="K30" s="6">
        <v>113979.94</v>
      </c>
      <c r="L30" s="6">
        <f t="shared" si="0"/>
        <v>873241.9</v>
      </c>
      <c r="M30" s="6">
        <v>138019.23000000001</v>
      </c>
      <c r="N30" s="6">
        <v>373530.65</v>
      </c>
      <c r="O30" s="6">
        <f t="shared" si="1"/>
        <v>373530.65</v>
      </c>
      <c r="P30" s="4" t="s">
        <v>115</v>
      </c>
      <c r="Q30" s="6">
        <v>735222.67</v>
      </c>
      <c r="R30" s="6">
        <v>413640.74</v>
      </c>
      <c r="S30" s="6">
        <v>299660.79999999999</v>
      </c>
      <c r="T30" s="4" t="s">
        <v>116</v>
      </c>
      <c r="U30" s="6">
        <v>299660.79999999999</v>
      </c>
      <c r="V30" s="4" t="s">
        <v>116</v>
      </c>
      <c r="W30" s="8">
        <f t="shared" si="2"/>
        <v>8989.8239999999987</v>
      </c>
    </row>
    <row r="31" spans="1:23" ht="13.2" hidden="1" x14ac:dyDescent="0.25">
      <c r="A31" s="3">
        <v>12321</v>
      </c>
      <c r="B31" s="4" t="s">
        <v>18</v>
      </c>
      <c r="C31" s="4" t="s">
        <v>117</v>
      </c>
      <c r="D31" s="5">
        <v>46038</v>
      </c>
      <c r="E31" s="4" t="s">
        <v>118</v>
      </c>
      <c r="F31" s="3" t="s">
        <v>21</v>
      </c>
      <c r="G31" s="6">
        <v>6143.36</v>
      </c>
      <c r="H31" s="6">
        <v>1</v>
      </c>
      <c r="I31" s="6"/>
      <c r="J31" s="6">
        <v>905.3</v>
      </c>
      <c r="K31" s="6">
        <v>250</v>
      </c>
      <c r="L31" s="6">
        <f t="shared" si="0"/>
        <v>0</v>
      </c>
      <c r="M31" s="6">
        <v>0</v>
      </c>
      <c r="N31" s="6">
        <v>0</v>
      </c>
      <c r="O31" s="6">
        <f t="shared" si="1"/>
        <v>0</v>
      </c>
      <c r="P31" s="6">
        <v>6143.36</v>
      </c>
      <c r="Q31" s="6">
        <v>0</v>
      </c>
      <c r="R31" s="6">
        <v>6143.36</v>
      </c>
      <c r="S31" s="6">
        <v>5893.36</v>
      </c>
      <c r="T31" s="4" t="s">
        <v>119</v>
      </c>
      <c r="U31" s="6">
        <v>5238.0600000000004</v>
      </c>
      <c r="V31" s="4" t="s">
        <v>120</v>
      </c>
      <c r="W31" s="8">
        <f t="shared" si="2"/>
        <v>157.14180000000002</v>
      </c>
    </row>
    <row r="32" spans="1:23" ht="13.2" x14ac:dyDescent="0.25">
      <c r="A32" s="3">
        <v>12314</v>
      </c>
      <c r="B32" s="4" t="s">
        <v>50</v>
      </c>
      <c r="C32" s="4" t="s">
        <v>121</v>
      </c>
      <c r="D32" s="5">
        <v>46027</v>
      </c>
      <c r="E32" s="4" t="s">
        <v>122</v>
      </c>
      <c r="F32" s="3" t="s">
        <v>123</v>
      </c>
      <c r="G32" s="6">
        <v>5403.91</v>
      </c>
      <c r="H32" s="6">
        <v>18.48</v>
      </c>
      <c r="I32" s="8">
        <f>+G32*H32</f>
        <v>99864.256800000003</v>
      </c>
      <c r="J32" s="6">
        <v>462.29</v>
      </c>
      <c r="K32" s="6">
        <v>454.46</v>
      </c>
      <c r="L32" s="6">
        <f t="shared" si="0"/>
        <v>930.95</v>
      </c>
      <c r="M32" s="6">
        <v>66.73</v>
      </c>
      <c r="N32" s="6">
        <v>2668.24</v>
      </c>
      <c r="O32" s="6">
        <f t="shared" si="1"/>
        <v>49309.075199999999</v>
      </c>
      <c r="P32" s="6">
        <v>1804.72</v>
      </c>
      <c r="Q32" s="6">
        <v>864.22</v>
      </c>
      <c r="R32" s="6">
        <v>2668.94</v>
      </c>
      <c r="S32" s="6">
        <v>2214.48</v>
      </c>
      <c r="T32" s="4" t="s">
        <v>124</v>
      </c>
      <c r="U32" s="6">
        <v>2206.65</v>
      </c>
      <c r="V32" s="4" t="s">
        <v>125</v>
      </c>
      <c r="W32" s="8">
        <f t="shared" si="2"/>
        <v>66.1995</v>
      </c>
    </row>
    <row r="33" spans="1:23" ht="13.2" hidden="1" x14ac:dyDescent="0.25">
      <c r="A33" s="3">
        <v>12308</v>
      </c>
      <c r="B33" s="4" t="s">
        <v>50</v>
      </c>
      <c r="C33" s="4" t="s">
        <v>51</v>
      </c>
      <c r="D33" s="5">
        <v>46027</v>
      </c>
      <c r="E33" s="4" t="s">
        <v>126</v>
      </c>
      <c r="F33" s="3" t="s">
        <v>21</v>
      </c>
      <c r="G33" s="6">
        <v>10342.93</v>
      </c>
      <c r="H33" s="6">
        <v>1</v>
      </c>
      <c r="I33" s="6"/>
      <c r="J33" s="6">
        <v>1522.97</v>
      </c>
      <c r="K33" s="6">
        <v>1413.84</v>
      </c>
      <c r="L33" s="6">
        <f t="shared" si="0"/>
        <v>0</v>
      </c>
      <c r="M33" s="6">
        <v>0</v>
      </c>
      <c r="N33" s="6">
        <v>7274.01</v>
      </c>
      <c r="O33" s="6">
        <f t="shared" si="1"/>
        <v>7274.01</v>
      </c>
      <c r="P33" s="6">
        <v>3068.92</v>
      </c>
      <c r="Q33" s="6">
        <v>0</v>
      </c>
      <c r="R33" s="6">
        <v>3068.92</v>
      </c>
      <c r="S33" s="6">
        <v>1655.08</v>
      </c>
      <c r="T33" s="4" t="s">
        <v>127</v>
      </c>
      <c r="U33" s="6">
        <v>1545.95</v>
      </c>
      <c r="V33" s="4" t="s">
        <v>128</v>
      </c>
      <c r="W33" s="8">
        <f t="shared" si="2"/>
        <v>46.378500000000003</v>
      </c>
    </row>
    <row r="34" spans="1:23" ht="13.2" x14ac:dyDescent="0.25">
      <c r="A34" s="3">
        <v>12240</v>
      </c>
      <c r="B34" s="4" t="s">
        <v>50</v>
      </c>
      <c r="C34" s="4" t="s">
        <v>121</v>
      </c>
      <c r="D34" s="5">
        <v>46034</v>
      </c>
      <c r="E34" s="4" t="s">
        <v>129</v>
      </c>
      <c r="F34" s="3" t="s">
        <v>123</v>
      </c>
      <c r="G34" s="6">
        <v>15877.57</v>
      </c>
      <c r="H34" s="6">
        <v>18.64</v>
      </c>
      <c r="I34" s="8">
        <f>+G34*H34</f>
        <v>295957.90480000002</v>
      </c>
      <c r="J34" s="6">
        <v>1456.05</v>
      </c>
      <c r="K34" s="6">
        <v>1387.82</v>
      </c>
      <c r="L34" s="6">
        <f t="shared" si="0"/>
        <v>3472.67</v>
      </c>
      <c r="M34" s="6">
        <v>1514.6</v>
      </c>
      <c r="N34" s="6">
        <v>6594.65</v>
      </c>
      <c r="O34" s="6">
        <f t="shared" si="1"/>
        <v>122924.276</v>
      </c>
      <c r="P34" s="6">
        <v>5810.25</v>
      </c>
      <c r="Q34" s="6">
        <v>1958.07</v>
      </c>
      <c r="R34" s="6">
        <v>7684.76</v>
      </c>
      <c r="S34" s="6">
        <v>6296.94</v>
      </c>
      <c r="T34" s="4" t="s">
        <v>130</v>
      </c>
      <c r="U34" s="6">
        <v>6228.71</v>
      </c>
      <c r="V34" s="4" t="s">
        <v>131</v>
      </c>
      <c r="W34" s="8">
        <f t="shared" si="2"/>
        <v>186.8613</v>
      </c>
    </row>
    <row r="35" spans="1:23" ht="13.2" hidden="1" x14ac:dyDescent="0.25">
      <c r="A35" s="3">
        <v>11988</v>
      </c>
      <c r="B35" s="4" t="s">
        <v>33</v>
      </c>
      <c r="C35" s="4" t="s">
        <v>132</v>
      </c>
      <c r="D35" s="5">
        <v>46036</v>
      </c>
      <c r="E35" s="4" t="s">
        <v>133</v>
      </c>
      <c r="F35" s="3" t="s">
        <v>21</v>
      </c>
      <c r="G35" s="6">
        <v>48725.74</v>
      </c>
      <c r="H35" s="6">
        <v>1</v>
      </c>
      <c r="I35" s="6"/>
      <c r="J35" s="6">
        <v>6407.08</v>
      </c>
      <c r="K35" s="6">
        <v>6533.67</v>
      </c>
      <c r="L35" s="6">
        <f t="shared" si="0"/>
        <v>24867.360000000001</v>
      </c>
      <c r="M35" s="6">
        <v>12818.24</v>
      </c>
      <c r="N35" s="6">
        <v>17126.09</v>
      </c>
      <c r="O35" s="6">
        <f t="shared" si="1"/>
        <v>17126.09</v>
      </c>
      <c r="P35" s="6">
        <v>6732.29</v>
      </c>
      <c r="Q35" s="6">
        <v>12049.12</v>
      </c>
      <c r="R35" s="6">
        <v>18780.310000000001</v>
      </c>
      <c r="S35" s="6">
        <v>12246.64</v>
      </c>
      <c r="T35" s="4" t="s">
        <v>134</v>
      </c>
      <c r="U35" s="6">
        <v>12246.64</v>
      </c>
      <c r="V35" s="4" t="s">
        <v>134</v>
      </c>
      <c r="W35" s="8">
        <f t="shared" si="2"/>
        <v>367.39919999999995</v>
      </c>
    </row>
    <row r="36" spans="1:23" ht="13.2" hidden="1" x14ac:dyDescent="0.25">
      <c r="A36" s="3">
        <v>11612</v>
      </c>
      <c r="B36" s="4" t="s">
        <v>24</v>
      </c>
      <c r="C36" s="4" t="s">
        <v>135</v>
      </c>
      <c r="D36" s="5">
        <v>46049</v>
      </c>
      <c r="E36" s="4" t="s">
        <v>136</v>
      </c>
      <c r="F36" s="3" t="s">
        <v>21</v>
      </c>
      <c r="G36" s="6">
        <v>522366.4</v>
      </c>
      <c r="H36" s="6">
        <v>1</v>
      </c>
      <c r="I36" s="6"/>
      <c r="J36" s="6">
        <v>38114.199999999997</v>
      </c>
      <c r="K36" s="6">
        <v>19355.71</v>
      </c>
      <c r="L36" s="6">
        <f t="shared" si="0"/>
        <v>69678.42</v>
      </c>
      <c r="M36" s="6">
        <v>12765.81</v>
      </c>
      <c r="N36" s="6">
        <v>87058.13</v>
      </c>
      <c r="O36" s="6">
        <f>+N36*H36</f>
        <v>87058.13</v>
      </c>
      <c r="P36" s="6">
        <v>365629.85</v>
      </c>
      <c r="Q36" s="6">
        <v>56912.61</v>
      </c>
      <c r="R36" s="6">
        <v>422390.93</v>
      </c>
      <c r="S36" s="6">
        <v>403035.22</v>
      </c>
      <c r="T36" s="4" t="s">
        <v>137</v>
      </c>
      <c r="U36" s="6">
        <v>384276.73</v>
      </c>
      <c r="V36" s="4" t="s">
        <v>138</v>
      </c>
      <c r="W36" s="8">
        <f t="shared" si="2"/>
        <v>11528.301899999999</v>
      </c>
    </row>
    <row r="37" spans="1:23" ht="15.75" hidden="1" customHeight="1" x14ac:dyDescent="0.25">
      <c r="L37" s="42">
        <f>SUBTOTAL(9,L2:L36)</f>
        <v>4403.62</v>
      </c>
      <c r="O37" s="178">
        <f>SUM(O2:O36)</f>
        <v>1216313.5512000001</v>
      </c>
      <c r="P37">
        <f>SUBTOTAL(9,P2:P36)</f>
        <v>7614.97</v>
      </c>
      <c r="V37" s="11" t="s">
        <v>21</v>
      </c>
      <c r="W37" s="9">
        <v>31241.108999999993</v>
      </c>
    </row>
    <row r="38" spans="1:23" ht="15.75" hidden="1" customHeight="1" x14ac:dyDescent="0.25">
      <c r="V38" s="10" t="s">
        <v>123</v>
      </c>
      <c r="W38">
        <v>253.0608</v>
      </c>
    </row>
    <row r="39" spans="1:23" ht="15.75" customHeight="1" x14ac:dyDescent="0.25">
      <c r="C39" s="43">
        <v>17.6768</v>
      </c>
      <c r="D39" s="44" t="s">
        <v>228</v>
      </c>
      <c r="E39" s="44" t="s">
        <v>123</v>
      </c>
      <c r="G39">
        <f>SUBTOTAL(9,G2:G38)</f>
        <v>21281.48</v>
      </c>
      <c r="I39" s="55">
        <f>SUBTOTAL(9,I32:I38)</f>
        <v>395822.16159999999</v>
      </c>
      <c r="N39">
        <f>SUBTOTAL(9,N2:N38)</f>
        <v>9262.89</v>
      </c>
      <c r="Q39" s="71" t="s">
        <v>295</v>
      </c>
      <c r="R39" s="26">
        <f>SUBTOTAL(9,R2:R38)</f>
        <v>10353.700000000001</v>
      </c>
      <c r="T39" s="72" t="s">
        <v>295</v>
      </c>
      <c r="U39" s="26">
        <v>1080438.3599999999</v>
      </c>
      <c r="W39">
        <f>+W37+W38*17.2532</f>
        <v>35607.217594559996</v>
      </c>
    </row>
    <row r="40" spans="1:23" ht="15.75" customHeight="1" x14ac:dyDescent="0.25">
      <c r="C40" s="30" t="s">
        <v>229</v>
      </c>
      <c r="D40" s="31">
        <v>1235140.9000000001</v>
      </c>
      <c r="E40" s="32">
        <v>4403.62</v>
      </c>
      <c r="N40" s="148">
        <v>1044080.2</v>
      </c>
      <c r="O40" s="148"/>
      <c r="Q40" s="72" t="s">
        <v>296</v>
      </c>
      <c r="R40" s="26">
        <v>10353.700000000001</v>
      </c>
      <c r="T40" s="72" t="s">
        <v>296</v>
      </c>
      <c r="U40" s="26">
        <f>8435.36</f>
        <v>8435.36</v>
      </c>
    </row>
    <row r="41" spans="1:23" ht="15.75" customHeight="1" x14ac:dyDescent="0.25">
      <c r="C41" s="30" t="s">
        <v>230</v>
      </c>
      <c r="D41" s="31">
        <v>763081.53999999992</v>
      </c>
      <c r="E41" s="32">
        <v>7614.97</v>
      </c>
      <c r="N41" s="148">
        <v>9262.89</v>
      </c>
      <c r="O41" s="148"/>
      <c r="Q41" s="71" t="s">
        <v>295</v>
      </c>
      <c r="R41" s="26">
        <f>+R39+R40*17.5</f>
        <v>191543.45</v>
      </c>
      <c r="T41" s="72" t="s">
        <v>295</v>
      </c>
      <c r="U41" s="70">
        <f>+U39+U40*17.5</f>
        <v>1228057.1599999999</v>
      </c>
    </row>
    <row r="42" spans="1:23" ht="15.75" customHeight="1" x14ac:dyDescent="0.25">
      <c r="C42" s="30"/>
      <c r="D42" s="33">
        <f>+D41+D40</f>
        <v>1998222.44</v>
      </c>
      <c r="E42" s="34">
        <f>+(E40+E41)*C39</f>
        <v>212450.21171199999</v>
      </c>
      <c r="N42" s="55">
        <f>+N40+N41*C39</f>
        <v>1207818.453952</v>
      </c>
      <c r="O42" s="55"/>
      <c r="Q42" s="72" t="s">
        <v>297</v>
      </c>
      <c r="R42" s="70">
        <f>+D44</f>
        <v>1660050.3299999996</v>
      </c>
      <c r="T42" s="72" t="s">
        <v>297</v>
      </c>
      <c r="U42" s="70">
        <f>+D44</f>
        <v>1660050.3299999996</v>
      </c>
    </row>
    <row r="43" spans="1:23" ht="15.75" customHeight="1" x14ac:dyDescent="0.25">
      <c r="C43" s="35" t="s">
        <v>225</v>
      </c>
      <c r="D43" s="36">
        <f>+D42+E42</f>
        <v>2210672.6517119999</v>
      </c>
      <c r="E43" s="37"/>
      <c r="Q43" s="72" t="s">
        <v>298</v>
      </c>
      <c r="R43" s="70">
        <f>+R41-R42</f>
        <v>-1468506.8799999997</v>
      </c>
      <c r="T43" s="72" t="s">
        <v>298</v>
      </c>
      <c r="U43" s="70">
        <f>+U41-U42</f>
        <v>-431993.16999999969</v>
      </c>
    </row>
    <row r="44" spans="1:23" ht="15.75" customHeight="1" x14ac:dyDescent="0.25">
      <c r="C44" s="73" t="s">
        <v>231</v>
      </c>
      <c r="D44" s="74">
        <v>1660050.3299999996</v>
      </c>
      <c r="E44" s="37"/>
      <c r="N44" s="118" t="e">
        <f>+#REF!+#REF!+#REF!-'ENERO '!N45</f>
        <v>#REF!</v>
      </c>
      <c r="O44" s="118"/>
    </row>
    <row r="45" spans="1:23" ht="15.75" customHeight="1" x14ac:dyDescent="0.25">
      <c r="C45" s="38" t="s">
        <v>232</v>
      </c>
      <c r="D45" s="39">
        <f>+D43-D44</f>
        <v>550622.3217120003</v>
      </c>
      <c r="E45" s="40"/>
      <c r="N45" s="118">
        <f>+N42+FEBRERO!N43+MARZO!N46</f>
        <v>3832643.4817269999</v>
      </c>
      <c r="O45" s="118"/>
    </row>
  </sheetData>
  <autoFilter ref="A1:W38" xr:uid="{00000000-0009-0000-0000-000000000000}">
    <filterColumn colId="1">
      <filters>
        <filter val="ALFREDO PALOMINO"/>
      </filters>
    </filterColumn>
    <filterColumn colId="5">
      <filters>
        <filter val="US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420B-6AFE-401C-9F8D-2FAC4590A1C4}">
  <sheetPr filterMode="1"/>
  <dimension ref="A1:W48"/>
  <sheetViews>
    <sheetView zoomScale="85" zoomScaleNormal="85" workbookViewId="0">
      <selection activeCell="I41" sqref="I41"/>
    </sheetView>
  </sheetViews>
  <sheetFormatPr baseColWidth="10" defaultRowHeight="13.8" x14ac:dyDescent="0.25"/>
  <cols>
    <col min="1" max="1" width="12.33203125" style="80" customWidth="1"/>
    <col min="2" max="2" width="16.77734375" style="80" customWidth="1"/>
    <col min="3" max="3" width="11.5546875" style="80"/>
    <col min="4" max="4" width="12.77734375" style="80" customWidth="1"/>
    <col min="5" max="5" width="11.5546875" style="80"/>
    <col min="6" max="6" width="8.33203125" style="80" customWidth="1"/>
    <col min="7" max="7" width="15.77734375" style="85" bestFit="1" customWidth="1"/>
    <col min="8" max="8" width="10.109375" style="85" customWidth="1"/>
    <col min="9" max="9" width="15.77734375" style="85" customWidth="1"/>
    <col min="10" max="10" width="11.5546875" style="85"/>
    <col min="11" max="11" width="13.5546875" style="85" bestFit="1" customWidth="1"/>
    <col min="12" max="12" width="13.5546875" style="85" customWidth="1"/>
    <col min="13" max="13" width="14.88671875" style="85" bestFit="1" customWidth="1"/>
    <col min="14" max="14" width="15.77734375" style="85" bestFit="1" customWidth="1"/>
    <col min="15" max="15" width="15.77734375" style="85" customWidth="1"/>
    <col min="16" max="16" width="11.5546875" style="85"/>
    <col min="17" max="17" width="19" style="85" customWidth="1"/>
    <col min="18" max="18" width="14.109375" style="85" bestFit="1" customWidth="1"/>
    <col min="19" max="19" width="13.109375" style="85" customWidth="1"/>
    <col min="20" max="20" width="11.5546875" style="85"/>
    <col min="21" max="21" width="14" style="85" customWidth="1"/>
    <col min="22" max="22" width="11.5546875" style="85"/>
    <col min="23" max="16384" width="11.5546875" style="80"/>
  </cols>
  <sheetData>
    <row r="1" spans="1:23" ht="21.6" customHeight="1" x14ac:dyDescent="0.25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7" t="s">
        <v>301</v>
      </c>
      <c r="I1" s="77"/>
      <c r="J1" s="77" t="s">
        <v>7</v>
      </c>
      <c r="K1" s="77" t="s">
        <v>8</v>
      </c>
      <c r="L1" s="78" t="s">
        <v>233</v>
      </c>
      <c r="M1" s="77" t="s">
        <v>9</v>
      </c>
      <c r="N1" s="149" t="s">
        <v>10</v>
      </c>
      <c r="O1" s="149"/>
      <c r="P1" s="79" t="s">
        <v>11</v>
      </c>
      <c r="Q1" s="77" t="s">
        <v>12</v>
      </c>
      <c r="R1" s="77" t="s">
        <v>13</v>
      </c>
      <c r="S1" s="77" t="s">
        <v>142</v>
      </c>
      <c r="T1" s="77" t="s">
        <v>15</v>
      </c>
      <c r="U1" s="77" t="s">
        <v>16</v>
      </c>
      <c r="V1" s="77" t="s">
        <v>17</v>
      </c>
      <c r="W1" s="76" t="s">
        <v>143</v>
      </c>
    </row>
    <row r="2" spans="1:23" hidden="1" x14ac:dyDescent="0.25">
      <c r="A2" s="76">
        <v>13021</v>
      </c>
      <c r="B2" s="76" t="s">
        <v>50</v>
      </c>
      <c r="C2" s="76" t="s">
        <v>144</v>
      </c>
      <c r="D2" s="81">
        <v>46080</v>
      </c>
      <c r="E2" s="76" t="s">
        <v>145</v>
      </c>
      <c r="F2" s="76" t="s">
        <v>21</v>
      </c>
      <c r="G2" s="82">
        <v>3157.87</v>
      </c>
      <c r="H2" s="82">
        <v>1</v>
      </c>
      <c r="I2" s="82"/>
      <c r="J2" s="82">
        <v>565.79</v>
      </c>
      <c r="K2" s="82">
        <v>699.69</v>
      </c>
      <c r="L2" s="82">
        <f t="shared" ref="L2:L35" si="0">+M2+Q2</f>
        <v>0</v>
      </c>
      <c r="M2" s="82">
        <v>0</v>
      </c>
      <c r="N2" s="82">
        <v>2810.5</v>
      </c>
      <c r="O2" s="82">
        <f>+N2*H2</f>
        <v>2810.5</v>
      </c>
      <c r="P2" s="82">
        <v>347.37</v>
      </c>
      <c r="Q2" s="82">
        <v>0</v>
      </c>
      <c r="R2" s="82">
        <v>347.37</v>
      </c>
      <c r="S2" s="77" t="s">
        <v>146</v>
      </c>
      <c r="T2" s="77" t="s">
        <v>147</v>
      </c>
      <c r="U2" s="77" t="s">
        <v>146</v>
      </c>
      <c r="V2" s="77" t="s">
        <v>147</v>
      </c>
      <c r="W2" s="83">
        <v>0.6</v>
      </c>
    </row>
    <row r="3" spans="1:23" hidden="1" x14ac:dyDescent="0.25">
      <c r="A3" s="76">
        <v>13018</v>
      </c>
      <c r="B3" s="76" t="s">
        <v>50</v>
      </c>
      <c r="C3" s="76" t="s">
        <v>51</v>
      </c>
      <c r="D3" s="81">
        <v>46080</v>
      </c>
      <c r="E3" s="76" t="s">
        <v>148</v>
      </c>
      <c r="F3" s="76" t="s">
        <v>21</v>
      </c>
      <c r="G3" s="82">
        <v>15116.36</v>
      </c>
      <c r="H3" s="82">
        <v>1</v>
      </c>
      <c r="I3" s="82"/>
      <c r="J3" s="82">
        <v>2034.53</v>
      </c>
      <c r="K3" s="82">
        <v>1507.4</v>
      </c>
      <c r="L3" s="82">
        <f t="shared" si="0"/>
        <v>4220.58</v>
      </c>
      <c r="M3" s="82">
        <v>2025.62</v>
      </c>
      <c r="N3" s="82">
        <v>5200.17</v>
      </c>
      <c r="O3" s="82">
        <f t="shared" ref="O3:O39" si="1">+N3*H3</f>
        <v>5200.17</v>
      </c>
      <c r="P3" s="82">
        <v>5695.61</v>
      </c>
      <c r="Q3" s="82">
        <v>2194.96</v>
      </c>
      <c r="R3" s="82">
        <v>7888.85</v>
      </c>
      <c r="S3" s="82">
        <v>6381.45</v>
      </c>
      <c r="T3" s="84">
        <v>0.55669999999999997</v>
      </c>
      <c r="U3" s="82">
        <v>5854.32</v>
      </c>
      <c r="V3" s="84">
        <v>0.38729999999999998</v>
      </c>
      <c r="W3" s="83">
        <v>0.3</v>
      </c>
    </row>
    <row r="4" spans="1:23" hidden="1" x14ac:dyDescent="0.25">
      <c r="A4" s="76">
        <v>13003</v>
      </c>
      <c r="B4" s="76" t="s">
        <v>18</v>
      </c>
      <c r="C4" s="76" t="s">
        <v>19</v>
      </c>
      <c r="D4" s="81">
        <v>46080</v>
      </c>
      <c r="E4" s="76" t="s">
        <v>149</v>
      </c>
      <c r="F4" s="76" t="s">
        <v>21</v>
      </c>
      <c r="G4" s="82">
        <v>4399.9799999999996</v>
      </c>
      <c r="H4" s="82">
        <v>1</v>
      </c>
      <c r="I4" s="82"/>
      <c r="J4" s="82">
        <v>640</v>
      </c>
      <c r="K4" s="82">
        <v>525.58000000000004</v>
      </c>
      <c r="L4" s="82">
        <f t="shared" si="0"/>
        <v>4399.9799999999996</v>
      </c>
      <c r="M4" s="82">
        <v>1413.23</v>
      </c>
      <c r="N4" s="82">
        <v>0</v>
      </c>
      <c r="O4" s="82">
        <f t="shared" si="1"/>
        <v>0</v>
      </c>
      <c r="P4" s="82">
        <v>0</v>
      </c>
      <c r="Q4" s="82">
        <v>2986.75</v>
      </c>
      <c r="R4" s="82">
        <v>2986.75</v>
      </c>
      <c r="S4" s="82">
        <v>2461.17</v>
      </c>
      <c r="T4" s="84">
        <v>0.70479999999999998</v>
      </c>
      <c r="U4" s="82">
        <v>2346.75</v>
      </c>
      <c r="V4" s="84">
        <v>0.53339999999999999</v>
      </c>
      <c r="W4" s="83">
        <v>0</v>
      </c>
    </row>
    <row r="5" spans="1:23" hidden="1" x14ac:dyDescent="0.25">
      <c r="A5" s="76">
        <v>12977</v>
      </c>
      <c r="B5" s="76" t="s">
        <v>50</v>
      </c>
      <c r="C5" s="76" t="s">
        <v>51</v>
      </c>
      <c r="D5" s="81">
        <v>46080</v>
      </c>
      <c r="E5" s="76" t="s">
        <v>150</v>
      </c>
      <c r="F5" s="76" t="s">
        <v>21</v>
      </c>
      <c r="G5" s="82">
        <v>3600</v>
      </c>
      <c r="H5" s="82">
        <v>1</v>
      </c>
      <c r="I5" s="82"/>
      <c r="J5" s="82">
        <v>610</v>
      </c>
      <c r="K5" s="82">
        <v>413.82</v>
      </c>
      <c r="L5" s="82">
        <f t="shared" si="0"/>
        <v>0</v>
      </c>
      <c r="M5" s="82">
        <v>0</v>
      </c>
      <c r="N5" s="82">
        <v>1023.84</v>
      </c>
      <c r="O5" s="82">
        <f t="shared" si="1"/>
        <v>1023.84</v>
      </c>
      <c r="P5" s="82">
        <v>2576.16</v>
      </c>
      <c r="Q5" s="82">
        <v>0</v>
      </c>
      <c r="R5" s="82">
        <v>2447.16</v>
      </c>
      <c r="S5" s="82">
        <v>2033.34</v>
      </c>
      <c r="T5" s="84">
        <v>0.73429999999999995</v>
      </c>
      <c r="U5" s="82">
        <v>1837.16</v>
      </c>
      <c r="V5" s="84">
        <v>0.51029999999999998</v>
      </c>
      <c r="W5" s="83">
        <v>0.6</v>
      </c>
    </row>
    <row r="6" spans="1:23" hidden="1" x14ac:dyDescent="0.25">
      <c r="A6" s="76">
        <v>12974</v>
      </c>
      <c r="B6" s="76" t="s">
        <v>24</v>
      </c>
      <c r="C6" s="76" t="s">
        <v>78</v>
      </c>
      <c r="D6" s="81">
        <v>46078</v>
      </c>
      <c r="E6" s="76" t="s">
        <v>151</v>
      </c>
      <c r="F6" s="76" t="s">
        <v>21</v>
      </c>
      <c r="G6" s="82">
        <v>3788.24</v>
      </c>
      <c r="H6" s="82">
        <v>1</v>
      </c>
      <c r="I6" s="82"/>
      <c r="J6" s="82">
        <v>732.29</v>
      </c>
      <c r="K6" s="82">
        <v>725.74</v>
      </c>
      <c r="L6" s="82">
        <f t="shared" si="0"/>
        <v>0</v>
      </c>
      <c r="M6" s="82">
        <v>0</v>
      </c>
      <c r="N6" s="82">
        <v>1504.9</v>
      </c>
      <c r="O6" s="82">
        <f t="shared" si="1"/>
        <v>1504.9</v>
      </c>
      <c r="P6" s="82">
        <v>2283.34</v>
      </c>
      <c r="Q6" s="82">
        <v>0</v>
      </c>
      <c r="R6" s="82">
        <v>2149.0300000000002</v>
      </c>
      <c r="S6" s="82">
        <v>1423.29</v>
      </c>
      <c r="T6" s="84">
        <v>0.56899999999999995</v>
      </c>
      <c r="U6" s="82">
        <v>1416.74</v>
      </c>
      <c r="V6" s="84">
        <v>0.374</v>
      </c>
      <c r="W6" s="83">
        <v>0</v>
      </c>
    </row>
    <row r="7" spans="1:23" hidden="1" x14ac:dyDescent="0.25">
      <c r="A7" s="76">
        <v>12964</v>
      </c>
      <c r="B7" s="76" t="s">
        <v>50</v>
      </c>
      <c r="C7" s="76" t="s">
        <v>51</v>
      </c>
      <c r="D7" s="81">
        <v>46076</v>
      </c>
      <c r="E7" s="76" t="s">
        <v>152</v>
      </c>
      <c r="F7" s="76" t="s">
        <v>21</v>
      </c>
      <c r="G7" s="82">
        <v>10939.5</v>
      </c>
      <c r="H7" s="82">
        <v>1</v>
      </c>
      <c r="I7" s="82"/>
      <c r="J7" s="82">
        <v>0</v>
      </c>
      <c r="K7" s="82">
        <v>0</v>
      </c>
      <c r="L7" s="82">
        <f t="shared" si="0"/>
        <v>0</v>
      </c>
      <c r="M7" s="82">
        <v>0</v>
      </c>
      <c r="N7" s="82">
        <v>10939.5</v>
      </c>
      <c r="O7" s="82">
        <f t="shared" si="1"/>
        <v>10939.5</v>
      </c>
      <c r="P7" s="82">
        <v>0</v>
      </c>
      <c r="Q7" s="82">
        <v>0</v>
      </c>
      <c r="R7" s="82">
        <v>0</v>
      </c>
      <c r="S7" s="82">
        <v>0</v>
      </c>
      <c r="T7" s="84">
        <v>0</v>
      </c>
      <c r="U7" s="82">
        <v>0</v>
      </c>
      <c r="V7" s="84">
        <v>0</v>
      </c>
      <c r="W7" s="83">
        <v>0.1</v>
      </c>
    </row>
    <row r="8" spans="1:23" x14ac:dyDescent="0.25">
      <c r="A8" s="76">
        <v>12947</v>
      </c>
      <c r="B8" s="76" t="s">
        <v>50</v>
      </c>
      <c r="C8" s="76" t="s">
        <v>153</v>
      </c>
      <c r="D8" s="81">
        <v>46077</v>
      </c>
      <c r="E8" s="76" t="s">
        <v>154</v>
      </c>
      <c r="F8" s="76" t="s">
        <v>123</v>
      </c>
      <c r="G8" s="82">
        <v>415.95</v>
      </c>
      <c r="H8" s="82">
        <v>17.23</v>
      </c>
      <c r="I8" s="82">
        <f>+G8*H8</f>
        <v>7166.8185000000003</v>
      </c>
      <c r="J8" s="82">
        <v>54.84</v>
      </c>
      <c r="K8" s="82">
        <v>48.97</v>
      </c>
      <c r="L8" s="82">
        <f t="shared" si="0"/>
        <v>0</v>
      </c>
      <c r="M8" s="82">
        <v>0</v>
      </c>
      <c r="N8" s="82">
        <v>215.37</v>
      </c>
      <c r="O8" s="82">
        <f t="shared" si="1"/>
        <v>3710.8251</v>
      </c>
      <c r="P8" s="82">
        <v>200.58</v>
      </c>
      <c r="Q8" s="82">
        <v>0</v>
      </c>
      <c r="R8" s="82">
        <v>159.66</v>
      </c>
      <c r="S8" s="82">
        <v>110.69</v>
      </c>
      <c r="T8" s="84">
        <v>0.39800000000000002</v>
      </c>
      <c r="U8" s="82">
        <v>104.82</v>
      </c>
      <c r="V8" s="84">
        <v>0.252</v>
      </c>
      <c r="W8" s="83">
        <v>0.65</v>
      </c>
    </row>
    <row r="9" spans="1:23" hidden="1" x14ac:dyDescent="0.25">
      <c r="A9" s="76">
        <v>12941</v>
      </c>
      <c r="B9" s="76" t="s">
        <v>33</v>
      </c>
      <c r="C9" s="76" t="s">
        <v>155</v>
      </c>
      <c r="D9" s="81">
        <v>46072</v>
      </c>
      <c r="E9" s="76" t="s">
        <v>156</v>
      </c>
      <c r="F9" s="76" t="s">
        <v>21</v>
      </c>
      <c r="G9" s="82">
        <v>14513</v>
      </c>
      <c r="H9" s="82">
        <v>1</v>
      </c>
      <c r="I9" s="82"/>
      <c r="J9" s="82">
        <v>1548.19</v>
      </c>
      <c r="K9" s="82">
        <v>1290.27</v>
      </c>
      <c r="L9" s="82">
        <f t="shared" si="0"/>
        <v>0</v>
      </c>
      <c r="M9" s="82">
        <v>0</v>
      </c>
      <c r="N9" s="82">
        <v>6079</v>
      </c>
      <c r="O9" s="82">
        <f t="shared" si="1"/>
        <v>6079</v>
      </c>
      <c r="P9" s="82">
        <v>8434</v>
      </c>
      <c r="Q9" s="82">
        <v>0</v>
      </c>
      <c r="R9" s="82">
        <v>8434</v>
      </c>
      <c r="S9" s="82">
        <v>7143.73</v>
      </c>
      <c r="T9" s="84">
        <v>0.59889999999999999</v>
      </c>
      <c r="U9" s="82">
        <v>6885.81</v>
      </c>
      <c r="V9" s="84">
        <v>0.47449999999999998</v>
      </c>
      <c r="W9" s="83">
        <v>0.8</v>
      </c>
    </row>
    <row r="10" spans="1:23" hidden="1" x14ac:dyDescent="0.25">
      <c r="A10" s="76">
        <v>12939</v>
      </c>
      <c r="B10" s="76" t="s">
        <v>33</v>
      </c>
      <c r="C10" s="76" t="s">
        <v>38</v>
      </c>
      <c r="D10" s="81">
        <v>46072</v>
      </c>
      <c r="E10" s="76" t="s">
        <v>157</v>
      </c>
      <c r="F10" s="76" t="s">
        <v>21</v>
      </c>
      <c r="G10" s="82">
        <v>7167.35</v>
      </c>
      <c r="H10" s="82">
        <v>1</v>
      </c>
      <c r="I10" s="82"/>
      <c r="J10" s="82">
        <v>889.86</v>
      </c>
      <c r="K10" s="82">
        <v>830.82</v>
      </c>
      <c r="L10" s="82">
        <f t="shared" si="0"/>
        <v>0</v>
      </c>
      <c r="M10" s="82">
        <v>0</v>
      </c>
      <c r="N10" s="82">
        <v>2544.75</v>
      </c>
      <c r="O10" s="82">
        <f t="shared" si="1"/>
        <v>2544.75</v>
      </c>
      <c r="P10" s="82">
        <v>4622.6000000000004</v>
      </c>
      <c r="Q10" s="82">
        <v>0</v>
      </c>
      <c r="R10" s="82">
        <v>4622.6000000000004</v>
      </c>
      <c r="S10" s="82">
        <v>3791.78</v>
      </c>
      <c r="T10" s="84">
        <v>0.6532</v>
      </c>
      <c r="U10" s="82">
        <v>3732.74</v>
      </c>
      <c r="V10" s="84">
        <v>0.52080000000000004</v>
      </c>
      <c r="W10" s="83">
        <v>0</v>
      </c>
    </row>
    <row r="11" spans="1:23" hidden="1" x14ac:dyDescent="0.25">
      <c r="A11" s="76">
        <v>12923</v>
      </c>
      <c r="B11" s="76" t="s">
        <v>74</v>
      </c>
      <c r="C11" s="76" t="s">
        <v>51</v>
      </c>
      <c r="D11" s="81">
        <v>46070</v>
      </c>
      <c r="E11" s="76" t="s">
        <v>158</v>
      </c>
      <c r="F11" s="76" t="s">
        <v>21</v>
      </c>
      <c r="G11" s="82">
        <v>12000</v>
      </c>
      <c r="H11" s="82">
        <v>1</v>
      </c>
      <c r="I11" s="82"/>
      <c r="J11" s="82">
        <v>1162</v>
      </c>
      <c r="K11" s="82">
        <v>2181.52</v>
      </c>
      <c r="L11" s="82">
        <f t="shared" si="0"/>
        <v>0</v>
      </c>
      <c r="M11" s="82">
        <v>0</v>
      </c>
      <c r="N11" s="82">
        <v>12072</v>
      </c>
      <c r="O11" s="82">
        <f t="shared" si="1"/>
        <v>12072</v>
      </c>
      <c r="P11" s="77" t="s">
        <v>159</v>
      </c>
      <c r="Q11" s="82">
        <v>0</v>
      </c>
      <c r="R11" s="77" t="s">
        <v>159</v>
      </c>
      <c r="S11" s="77" t="s">
        <v>160</v>
      </c>
      <c r="T11" s="77" t="s">
        <v>161</v>
      </c>
      <c r="U11" s="77" t="s">
        <v>160</v>
      </c>
      <c r="V11" s="77" t="s">
        <v>161</v>
      </c>
      <c r="W11" s="83">
        <v>0</v>
      </c>
    </row>
    <row r="12" spans="1:23" hidden="1" x14ac:dyDescent="0.25">
      <c r="A12" s="76">
        <v>12921</v>
      </c>
      <c r="B12" s="76" t="s">
        <v>18</v>
      </c>
      <c r="C12" s="76" t="s">
        <v>162</v>
      </c>
      <c r="D12" s="81">
        <v>46070</v>
      </c>
      <c r="E12" s="76" t="s">
        <v>163</v>
      </c>
      <c r="F12" s="76" t="s">
        <v>123</v>
      </c>
      <c r="G12" s="82">
        <v>734.08</v>
      </c>
      <c r="H12" s="82">
        <v>17.239999999999998</v>
      </c>
      <c r="I12" s="82">
        <f>+G12*H12</f>
        <v>12655.539199999999</v>
      </c>
      <c r="J12" s="82">
        <v>90.29</v>
      </c>
      <c r="K12" s="82">
        <v>101.44</v>
      </c>
      <c r="L12" s="82">
        <f t="shared" si="0"/>
        <v>0</v>
      </c>
      <c r="M12" s="82">
        <v>0</v>
      </c>
      <c r="N12" s="82">
        <v>543.26</v>
      </c>
      <c r="O12" s="82">
        <f t="shared" si="1"/>
        <v>9365.8023999999987</v>
      </c>
      <c r="P12" s="82">
        <v>190.82</v>
      </c>
      <c r="Q12" s="82">
        <v>0</v>
      </c>
      <c r="R12" s="82">
        <v>190.82</v>
      </c>
      <c r="S12" s="82">
        <v>89.38</v>
      </c>
      <c r="T12" s="84">
        <v>0.12180000000000001</v>
      </c>
      <c r="U12" s="82">
        <v>89.38</v>
      </c>
      <c r="V12" s="84">
        <v>0.12180000000000001</v>
      </c>
      <c r="W12" s="83">
        <v>0.55000000000000004</v>
      </c>
    </row>
    <row r="13" spans="1:23" hidden="1" x14ac:dyDescent="0.25">
      <c r="A13" s="76">
        <v>12919</v>
      </c>
      <c r="B13" s="76" t="s">
        <v>50</v>
      </c>
      <c r="C13" s="76" t="s">
        <v>51</v>
      </c>
      <c r="D13" s="81">
        <v>46077</v>
      </c>
      <c r="E13" s="76" t="s">
        <v>164</v>
      </c>
      <c r="F13" s="76" t="s">
        <v>21</v>
      </c>
      <c r="G13" s="82">
        <v>2984</v>
      </c>
      <c r="H13" s="82">
        <v>1</v>
      </c>
      <c r="I13" s="82"/>
      <c r="J13" s="82">
        <v>548.4</v>
      </c>
      <c r="K13" s="82">
        <v>557.85</v>
      </c>
      <c r="L13" s="82">
        <f t="shared" si="0"/>
        <v>0</v>
      </c>
      <c r="M13" s="82">
        <v>0</v>
      </c>
      <c r="N13" s="82">
        <v>1924.06</v>
      </c>
      <c r="O13" s="82">
        <f t="shared" si="1"/>
        <v>1924.06</v>
      </c>
      <c r="P13" s="82">
        <v>1059.94</v>
      </c>
      <c r="Q13" s="82">
        <v>0</v>
      </c>
      <c r="R13" s="82">
        <v>1059.94</v>
      </c>
      <c r="S13" s="82">
        <v>502.09</v>
      </c>
      <c r="T13" s="84">
        <v>0.16830000000000001</v>
      </c>
      <c r="U13" s="82">
        <v>502.09</v>
      </c>
      <c r="V13" s="84">
        <v>0.16830000000000001</v>
      </c>
      <c r="W13" s="83">
        <v>0.6</v>
      </c>
    </row>
    <row r="14" spans="1:23" hidden="1" x14ac:dyDescent="0.25">
      <c r="A14" s="76">
        <v>12912</v>
      </c>
      <c r="B14" s="76" t="s">
        <v>18</v>
      </c>
      <c r="C14" s="76" t="s">
        <v>19</v>
      </c>
      <c r="D14" s="81">
        <v>46062</v>
      </c>
      <c r="E14" s="76" t="s">
        <v>165</v>
      </c>
      <c r="F14" s="76" t="s">
        <v>21</v>
      </c>
      <c r="G14" s="82">
        <v>3999.98</v>
      </c>
      <c r="H14" s="82">
        <v>1</v>
      </c>
      <c r="I14" s="82"/>
      <c r="J14" s="82">
        <v>670</v>
      </c>
      <c r="K14" s="82">
        <v>398.39</v>
      </c>
      <c r="L14" s="82">
        <f t="shared" si="0"/>
        <v>3999.98</v>
      </c>
      <c r="M14" s="82">
        <v>706.62</v>
      </c>
      <c r="N14" s="82">
        <v>0</v>
      </c>
      <c r="O14" s="82">
        <f t="shared" si="1"/>
        <v>0</v>
      </c>
      <c r="P14" s="82">
        <v>0</v>
      </c>
      <c r="Q14" s="82">
        <v>3293.36</v>
      </c>
      <c r="R14" s="82">
        <v>3293.36</v>
      </c>
      <c r="S14" s="82">
        <v>2894.97</v>
      </c>
      <c r="T14" s="84">
        <v>0.89119999999999999</v>
      </c>
      <c r="U14" s="82">
        <v>2623.36</v>
      </c>
      <c r="V14" s="84">
        <v>0.65580000000000005</v>
      </c>
      <c r="W14" s="83">
        <v>0</v>
      </c>
    </row>
    <row r="15" spans="1:23" hidden="1" x14ac:dyDescent="0.25">
      <c r="A15" s="76">
        <v>12902</v>
      </c>
      <c r="B15" s="76" t="s">
        <v>24</v>
      </c>
      <c r="C15" s="76" t="s">
        <v>59</v>
      </c>
      <c r="D15" s="81">
        <v>46080</v>
      </c>
      <c r="E15" s="76" t="s">
        <v>166</v>
      </c>
      <c r="F15" s="76" t="s">
        <v>21</v>
      </c>
      <c r="G15" s="82">
        <v>8680.48</v>
      </c>
      <c r="H15" s="82">
        <v>1</v>
      </c>
      <c r="I15" s="82"/>
      <c r="J15" s="82">
        <v>1035.3800000000001</v>
      </c>
      <c r="K15" s="82">
        <v>966.98</v>
      </c>
      <c r="L15" s="82">
        <f t="shared" si="0"/>
        <v>0</v>
      </c>
      <c r="M15" s="82">
        <v>0</v>
      </c>
      <c r="N15" s="82">
        <v>3773.55</v>
      </c>
      <c r="O15" s="82">
        <f t="shared" si="1"/>
        <v>3773.55</v>
      </c>
      <c r="P15" s="82">
        <v>4906.93</v>
      </c>
      <c r="Q15" s="82">
        <v>0</v>
      </c>
      <c r="R15" s="82">
        <v>4906.93</v>
      </c>
      <c r="S15" s="82">
        <v>3939.95</v>
      </c>
      <c r="T15" s="84">
        <v>0.57320000000000004</v>
      </c>
      <c r="U15" s="82">
        <v>3871.55</v>
      </c>
      <c r="V15" s="84">
        <v>0.44600000000000001</v>
      </c>
      <c r="W15" s="83">
        <v>0</v>
      </c>
    </row>
    <row r="16" spans="1:23" hidden="1" x14ac:dyDescent="0.25">
      <c r="A16" s="76">
        <v>12898</v>
      </c>
      <c r="B16" s="76" t="s">
        <v>24</v>
      </c>
      <c r="C16" s="76" t="s">
        <v>59</v>
      </c>
      <c r="D16" s="81">
        <v>46080</v>
      </c>
      <c r="E16" s="76" t="s">
        <v>167</v>
      </c>
      <c r="F16" s="76" t="s">
        <v>21</v>
      </c>
      <c r="G16" s="82">
        <v>925190.62</v>
      </c>
      <c r="H16" s="82">
        <v>1</v>
      </c>
      <c r="I16" s="82"/>
      <c r="J16" s="82">
        <v>91420.12</v>
      </c>
      <c r="K16" s="82">
        <v>108761.74</v>
      </c>
      <c r="L16" s="82">
        <f t="shared" si="0"/>
        <v>873241.9</v>
      </c>
      <c r="M16" s="82">
        <v>124356.59</v>
      </c>
      <c r="N16" s="82">
        <v>361998.42</v>
      </c>
      <c r="O16" s="82">
        <f t="shared" si="1"/>
        <v>361998.42</v>
      </c>
      <c r="P16" s="77" t="s">
        <v>168</v>
      </c>
      <c r="Q16" s="82">
        <v>748885.31</v>
      </c>
      <c r="R16" s="82">
        <v>438835.61</v>
      </c>
      <c r="S16" s="82">
        <v>330073.87</v>
      </c>
      <c r="T16" s="84">
        <v>0.35680000000000001</v>
      </c>
      <c r="U16" s="82">
        <v>330073.87</v>
      </c>
      <c r="V16" s="84">
        <v>0.35680000000000001</v>
      </c>
      <c r="W16" s="83">
        <v>7.0000000000000007E-2</v>
      </c>
    </row>
    <row r="17" spans="1:23" hidden="1" x14ac:dyDescent="0.25">
      <c r="A17" s="76">
        <v>12897</v>
      </c>
      <c r="B17" s="76" t="s">
        <v>24</v>
      </c>
      <c r="C17" s="76" t="s">
        <v>169</v>
      </c>
      <c r="D17" s="81">
        <v>46058</v>
      </c>
      <c r="E17" s="76" t="s">
        <v>170</v>
      </c>
      <c r="F17" s="76" t="s">
        <v>21</v>
      </c>
      <c r="G17" s="82">
        <v>1097.5999999999999</v>
      </c>
      <c r="H17" s="82">
        <v>1</v>
      </c>
      <c r="I17" s="82"/>
      <c r="J17" s="82">
        <v>321.70999999999998</v>
      </c>
      <c r="K17" s="82">
        <v>321.70999999999998</v>
      </c>
      <c r="L17" s="82">
        <f t="shared" si="0"/>
        <v>0</v>
      </c>
      <c r="M17" s="82">
        <v>0</v>
      </c>
      <c r="N17" s="82">
        <v>551.55999999999995</v>
      </c>
      <c r="O17" s="82">
        <f t="shared" si="1"/>
        <v>551.55999999999995</v>
      </c>
      <c r="P17" s="82">
        <v>546.04</v>
      </c>
      <c r="Q17" s="82">
        <v>0</v>
      </c>
      <c r="R17" s="82">
        <v>546.04</v>
      </c>
      <c r="S17" s="82">
        <v>224.33</v>
      </c>
      <c r="T17" s="84">
        <v>0.4975</v>
      </c>
      <c r="U17" s="82">
        <v>224.33</v>
      </c>
      <c r="V17" s="84">
        <v>0.2044</v>
      </c>
      <c r="W17" s="83">
        <v>0.99</v>
      </c>
    </row>
    <row r="18" spans="1:23" hidden="1" x14ac:dyDescent="0.25">
      <c r="A18" s="76">
        <v>12889</v>
      </c>
      <c r="B18" s="76" t="s">
        <v>24</v>
      </c>
      <c r="C18" s="76" t="s">
        <v>78</v>
      </c>
      <c r="D18" s="81">
        <v>46078</v>
      </c>
      <c r="E18" s="76" t="s">
        <v>171</v>
      </c>
      <c r="F18" s="76" t="s">
        <v>21</v>
      </c>
      <c r="G18" s="82">
        <v>19243.02</v>
      </c>
      <c r="H18" s="82">
        <v>1</v>
      </c>
      <c r="I18" s="82"/>
      <c r="J18" s="82">
        <v>3420.54</v>
      </c>
      <c r="K18" s="82">
        <v>2264.81</v>
      </c>
      <c r="L18" s="82">
        <f t="shared" si="0"/>
        <v>12519.81</v>
      </c>
      <c r="M18" s="82">
        <v>2027.23</v>
      </c>
      <c r="N18" s="82">
        <v>2711.71</v>
      </c>
      <c r="O18" s="82">
        <f t="shared" si="1"/>
        <v>2711.71</v>
      </c>
      <c r="P18" s="82">
        <v>4011.5</v>
      </c>
      <c r="Q18" s="82">
        <v>10492.58</v>
      </c>
      <c r="R18" s="82">
        <v>14502.36</v>
      </c>
      <c r="S18" s="82">
        <v>12237.55</v>
      </c>
      <c r="T18" s="84">
        <v>0.81369999999999998</v>
      </c>
      <c r="U18" s="82">
        <v>11081.82</v>
      </c>
      <c r="V18" s="84">
        <v>0.57589999999999997</v>
      </c>
      <c r="W18" s="83">
        <v>0.36</v>
      </c>
    </row>
    <row r="19" spans="1:23" hidden="1" x14ac:dyDescent="0.25">
      <c r="A19" s="76">
        <v>12882</v>
      </c>
      <c r="B19" s="76" t="s">
        <v>24</v>
      </c>
      <c r="C19" s="76" t="s">
        <v>169</v>
      </c>
      <c r="D19" s="81">
        <v>46064</v>
      </c>
      <c r="E19" s="76" t="s">
        <v>172</v>
      </c>
      <c r="F19" s="76" t="s">
        <v>21</v>
      </c>
      <c r="G19" s="82">
        <v>5737.54</v>
      </c>
      <c r="H19" s="82">
        <v>1</v>
      </c>
      <c r="I19" s="82"/>
      <c r="J19" s="82">
        <v>743.96</v>
      </c>
      <c r="K19" s="82">
        <v>655.47</v>
      </c>
      <c r="L19" s="82">
        <f t="shared" si="0"/>
        <v>0</v>
      </c>
      <c r="M19" s="82">
        <v>0</v>
      </c>
      <c r="N19" s="82">
        <v>3118.96</v>
      </c>
      <c r="O19" s="82">
        <f t="shared" si="1"/>
        <v>3118.96</v>
      </c>
      <c r="P19" s="82">
        <v>2618.58</v>
      </c>
      <c r="Q19" s="82">
        <v>0</v>
      </c>
      <c r="R19" s="82">
        <v>2477.1999999999998</v>
      </c>
      <c r="S19" s="82">
        <v>1821.73</v>
      </c>
      <c r="T19" s="84">
        <v>0.44719999999999999</v>
      </c>
      <c r="U19" s="82">
        <v>1733.24</v>
      </c>
      <c r="V19" s="84">
        <v>0.30209999999999998</v>
      </c>
      <c r="W19" s="83">
        <v>0.51</v>
      </c>
    </row>
    <row r="20" spans="1:23" hidden="1" x14ac:dyDescent="0.25">
      <c r="A20" s="76">
        <v>12881</v>
      </c>
      <c r="B20" s="76" t="s">
        <v>24</v>
      </c>
      <c r="C20" s="76" t="s">
        <v>59</v>
      </c>
      <c r="D20" s="81">
        <v>46076</v>
      </c>
      <c r="E20" s="76" t="s">
        <v>173</v>
      </c>
      <c r="F20" s="76" t="s">
        <v>21</v>
      </c>
      <c r="G20" s="82">
        <v>5598.8</v>
      </c>
      <c r="H20" s="82">
        <v>1</v>
      </c>
      <c r="I20" s="82"/>
      <c r="J20" s="82">
        <v>733.53</v>
      </c>
      <c r="K20" s="82">
        <v>660.25</v>
      </c>
      <c r="L20" s="82">
        <f t="shared" si="0"/>
        <v>0</v>
      </c>
      <c r="M20" s="82">
        <v>0</v>
      </c>
      <c r="N20" s="82">
        <v>2159.17</v>
      </c>
      <c r="O20" s="82">
        <f t="shared" si="1"/>
        <v>2159.17</v>
      </c>
      <c r="P20" s="82">
        <v>3439.63</v>
      </c>
      <c r="Q20" s="82">
        <v>0</v>
      </c>
      <c r="R20" s="82">
        <v>2508.2600000000002</v>
      </c>
      <c r="S20" s="82">
        <v>1848.01</v>
      </c>
      <c r="T20" s="84">
        <v>0.46110000000000001</v>
      </c>
      <c r="U20" s="82">
        <v>1774.73</v>
      </c>
      <c r="V20" s="84">
        <v>0.317</v>
      </c>
      <c r="W20" s="83">
        <v>0</v>
      </c>
    </row>
    <row r="21" spans="1:23" hidden="1" x14ac:dyDescent="0.25">
      <c r="A21" s="76">
        <v>12877</v>
      </c>
      <c r="B21" s="76" t="s">
        <v>24</v>
      </c>
      <c r="C21" s="76" t="s">
        <v>59</v>
      </c>
      <c r="D21" s="81">
        <v>46062</v>
      </c>
      <c r="E21" s="76" t="s">
        <v>174</v>
      </c>
      <c r="F21" s="76" t="s">
        <v>21</v>
      </c>
      <c r="G21" s="82">
        <v>19710</v>
      </c>
      <c r="H21" s="82">
        <v>1</v>
      </c>
      <c r="I21" s="82"/>
      <c r="J21" s="82">
        <v>2917.6</v>
      </c>
      <c r="K21" s="82">
        <v>4391.8599999999997</v>
      </c>
      <c r="L21" s="82">
        <f t="shared" si="0"/>
        <v>0</v>
      </c>
      <c r="M21" s="82">
        <v>0</v>
      </c>
      <c r="N21" s="82">
        <v>21799.26</v>
      </c>
      <c r="O21" s="82">
        <f t="shared" si="1"/>
        <v>21799.26</v>
      </c>
      <c r="P21" s="77" t="s">
        <v>175</v>
      </c>
      <c r="Q21" s="82">
        <v>0</v>
      </c>
      <c r="R21" s="77" t="s">
        <v>175</v>
      </c>
      <c r="S21" s="77" t="s">
        <v>176</v>
      </c>
      <c r="T21" s="77" t="s">
        <v>177</v>
      </c>
      <c r="U21" s="77" t="s">
        <v>176</v>
      </c>
      <c r="V21" s="77" t="s">
        <v>177</v>
      </c>
      <c r="W21" s="83">
        <v>0.4</v>
      </c>
    </row>
    <row r="22" spans="1:23" hidden="1" x14ac:dyDescent="0.25">
      <c r="A22" s="76">
        <v>12855</v>
      </c>
      <c r="B22" s="76" t="s">
        <v>33</v>
      </c>
      <c r="C22" s="76" t="s">
        <v>178</v>
      </c>
      <c r="D22" s="81">
        <v>46070</v>
      </c>
      <c r="E22" s="76" t="s">
        <v>179</v>
      </c>
      <c r="F22" s="76" t="s">
        <v>21</v>
      </c>
      <c r="G22" s="82">
        <v>16815.47</v>
      </c>
      <c r="H22" s="82">
        <v>1</v>
      </c>
      <c r="I22" s="82"/>
      <c r="J22" s="82">
        <v>1985.25</v>
      </c>
      <c r="K22" s="82">
        <v>1394.39</v>
      </c>
      <c r="L22" s="82">
        <f t="shared" si="0"/>
        <v>9251.35</v>
      </c>
      <c r="M22" s="82">
        <v>2138.56</v>
      </c>
      <c r="N22" s="82">
        <v>3918.79</v>
      </c>
      <c r="O22" s="82">
        <f t="shared" si="1"/>
        <v>3918.79</v>
      </c>
      <c r="P22" s="82">
        <v>3645.33</v>
      </c>
      <c r="Q22" s="82">
        <v>7112.79</v>
      </c>
      <c r="R22" s="82">
        <v>10758.12</v>
      </c>
      <c r="S22" s="82">
        <v>9363.73</v>
      </c>
      <c r="T22" s="84">
        <v>0.67490000000000006</v>
      </c>
      <c r="U22" s="82">
        <v>8772.8700000000008</v>
      </c>
      <c r="V22" s="84">
        <v>0.52170000000000005</v>
      </c>
      <c r="W22" s="83">
        <v>0.35</v>
      </c>
    </row>
    <row r="23" spans="1:23" hidden="1" x14ac:dyDescent="0.25">
      <c r="A23" s="76">
        <v>12845</v>
      </c>
      <c r="B23" s="76" t="s">
        <v>50</v>
      </c>
      <c r="C23" s="76" t="s">
        <v>51</v>
      </c>
      <c r="D23" s="81">
        <v>46058</v>
      </c>
      <c r="E23" s="76" t="s">
        <v>180</v>
      </c>
      <c r="F23" s="76" t="s">
        <v>21</v>
      </c>
      <c r="G23" s="82">
        <v>2278</v>
      </c>
      <c r="H23" s="82">
        <v>1</v>
      </c>
      <c r="I23" s="82"/>
      <c r="J23" s="82">
        <v>228.53</v>
      </c>
      <c r="K23" s="82">
        <v>217.45</v>
      </c>
      <c r="L23" s="82">
        <f t="shared" si="0"/>
        <v>0</v>
      </c>
      <c r="M23" s="82">
        <v>0</v>
      </c>
      <c r="N23" s="82">
        <v>1270.77</v>
      </c>
      <c r="O23" s="82">
        <f t="shared" si="1"/>
        <v>1270.77</v>
      </c>
      <c r="P23" s="82">
        <v>1007.23</v>
      </c>
      <c r="Q23" s="82">
        <v>0</v>
      </c>
      <c r="R23" s="82">
        <v>1007.23</v>
      </c>
      <c r="S23" s="82">
        <v>789.78</v>
      </c>
      <c r="T23" s="84">
        <v>0.44700000000000001</v>
      </c>
      <c r="U23" s="82">
        <v>778.7</v>
      </c>
      <c r="V23" s="84">
        <v>0.34179999999999999</v>
      </c>
      <c r="W23" s="83">
        <v>0.7</v>
      </c>
    </row>
    <row r="24" spans="1:23" x14ac:dyDescent="0.25">
      <c r="A24" s="76">
        <v>12838</v>
      </c>
      <c r="B24" s="76" t="s">
        <v>50</v>
      </c>
      <c r="C24" s="76" t="s">
        <v>153</v>
      </c>
      <c r="D24" s="81">
        <v>46079</v>
      </c>
      <c r="E24" s="76" t="s">
        <v>181</v>
      </c>
      <c r="F24" s="76" t="s">
        <v>123</v>
      </c>
      <c r="G24" s="82">
        <v>231.34</v>
      </c>
      <c r="H24" s="82">
        <v>17.690000000000001</v>
      </c>
      <c r="I24" s="82">
        <f>+G24*H24</f>
        <v>4092.4046000000003</v>
      </c>
      <c r="J24" s="82">
        <v>34.700000000000003</v>
      </c>
      <c r="K24" s="82">
        <v>39.14</v>
      </c>
      <c r="L24" s="82">
        <f t="shared" si="0"/>
        <v>0</v>
      </c>
      <c r="M24" s="82">
        <v>0</v>
      </c>
      <c r="N24" s="82">
        <v>156.34</v>
      </c>
      <c r="O24" s="82">
        <f t="shared" si="1"/>
        <v>2765.6546000000003</v>
      </c>
      <c r="P24" s="82">
        <v>75</v>
      </c>
      <c r="Q24" s="82">
        <v>0</v>
      </c>
      <c r="R24" s="82">
        <v>67.42</v>
      </c>
      <c r="S24" s="82">
        <v>28.28</v>
      </c>
      <c r="T24" s="84">
        <v>0.1222</v>
      </c>
      <c r="U24" s="82">
        <v>28.28</v>
      </c>
      <c r="V24" s="84">
        <v>0.1222</v>
      </c>
      <c r="W24" s="83">
        <v>0.8</v>
      </c>
    </row>
    <row r="25" spans="1:23" hidden="1" x14ac:dyDescent="0.25">
      <c r="A25" s="76">
        <v>12835</v>
      </c>
      <c r="B25" s="76" t="s">
        <v>18</v>
      </c>
      <c r="C25" s="76" t="s">
        <v>117</v>
      </c>
      <c r="D25" s="81">
        <v>46076</v>
      </c>
      <c r="E25" s="76" t="s">
        <v>182</v>
      </c>
      <c r="F25" s="76" t="s">
        <v>21</v>
      </c>
      <c r="G25" s="82">
        <v>100677.17</v>
      </c>
      <c r="H25" s="82">
        <v>1</v>
      </c>
      <c r="I25" s="82"/>
      <c r="J25" s="82">
        <v>10301.870000000001</v>
      </c>
      <c r="K25" s="82">
        <v>8863.8700000000008</v>
      </c>
      <c r="L25" s="82">
        <f t="shared" si="0"/>
        <v>35356.94</v>
      </c>
      <c r="M25" s="82">
        <v>7646.75</v>
      </c>
      <c r="N25" s="82">
        <v>43800.35</v>
      </c>
      <c r="O25" s="82">
        <f t="shared" si="1"/>
        <v>43800.35</v>
      </c>
      <c r="P25" s="82">
        <v>21519.88</v>
      </c>
      <c r="Q25" s="82">
        <v>27710.19</v>
      </c>
      <c r="R25" s="82">
        <v>49230.07</v>
      </c>
      <c r="S25" s="82">
        <v>40366.199999999997</v>
      </c>
      <c r="T25" s="84">
        <v>0.50329999999999997</v>
      </c>
      <c r="U25" s="82">
        <v>38928.199999999997</v>
      </c>
      <c r="V25" s="84">
        <v>0.38669999999999999</v>
      </c>
      <c r="W25" s="83">
        <v>0.6</v>
      </c>
    </row>
    <row r="26" spans="1:23" hidden="1" x14ac:dyDescent="0.25">
      <c r="A26" s="76">
        <v>12829</v>
      </c>
      <c r="B26" s="76" t="s">
        <v>24</v>
      </c>
      <c r="C26" s="76" t="s">
        <v>59</v>
      </c>
      <c r="D26" s="81">
        <v>46072</v>
      </c>
      <c r="E26" s="76" t="s">
        <v>183</v>
      </c>
      <c r="F26" s="76" t="s">
        <v>21</v>
      </c>
      <c r="G26" s="82">
        <v>829.59</v>
      </c>
      <c r="H26" s="82">
        <v>1</v>
      </c>
      <c r="I26" s="82"/>
      <c r="J26" s="82">
        <v>288.92</v>
      </c>
      <c r="K26" s="82">
        <v>337.7</v>
      </c>
      <c r="L26" s="82">
        <f t="shared" si="0"/>
        <v>0</v>
      </c>
      <c r="M26" s="82">
        <v>0</v>
      </c>
      <c r="N26" s="82">
        <v>461.55</v>
      </c>
      <c r="O26" s="82">
        <f t="shared" si="1"/>
        <v>461.55</v>
      </c>
      <c r="P26" s="82">
        <v>368.04</v>
      </c>
      <c r="Q26" s="82">
        <v>0</v>
      </c>
      <c r="R26" s="82">
        <v>191.5</v>
      </c>
      <c r="S26" s="77" t="s">
        <v>184</v>
      </c>
      <c r="T26" s="77" t="s">
        <v>185</v>
      </c>
      <c r="U26" s="77" t="s">
        <v>184</v>
      </c>
      <c r="V26" s="77" t="s">
        <v>185</v>
      </c>
      <c r="W26" s="83">
        <v>0</v>
      </c>
    </row>
    <row r="27" spans="1:23" hidden="1" x14ac:dyDescent="0.25">
      <c r="A27" s="76">
        <v>12810</v>
      </c>
      <c r="B27" s="76" t="s">
        <v>50</v>
      </c>
      <c r="C27" s="76" t="s">
        <v>51</v>
      </c>
      <c r="D27" s="81">
        <v>46072</v>
      </c>
      <c r="E27" s="76" t="s">
        <v>186</v>
      </c>
      <c r="F27" s="76" t="s">
        <v>21</v>
      </c>
      <c r="G27" s="82">
        <v>3600</v>
      </c>
      <c r="H27" s="82">
        <v>1</v>
      </c>
      <c r="I27" s="82"/>
      <c r="J27" s="82">
        <v>610</v>
      </c>
      <c r="K27" s="82">
        <v>663.06</v>
      </c>
      <c r="L27" s="82">
        <f t="shared" si="0"/>
        <v>0</v>
      </c>
      <c r="M27" s="82">
        <v>0</v>
      </c>
      <c r="N27" s="82">
        <v>2581.6</v>
      </c>
      <c r="O27" s="82">
        <f t="shared" si="1"/>
        <v>2581.6</v>
      </c>
      <c r="P27" s="82">
        <v>1018.4</v>
      </c>
      <c r="Q27" s="82">
        <v>0</v>
      </c>
      <c r="R27" s="82">
        <v>1018.4</v>
      </c>
      <c r="S27" s="82">
        <v>355.34</v>
      </c>
      <c r="T27" s="84">
        <v>9.8699999999999996E-2</v>
      </c>
      <c r="U27" s="82">
        <v>355.34</v>
      </c>
      <c r="V27" s="84">
        <v>9.8699999999999996E-2</v>
      </c>
      <c r="W27" s="83">
        <v>0.6</v>
      </c>
    </row>
    <row r="28" spans="1:23" hidden="1" x14ac:dyDescent="0.25">
      <c r="A28" s="76">
        <v>12802</v>
      </c>
      <c r="B28" s="76" t="s">
        <v>24</v>
      </c>
      <c r="C28" s="76" t="s">
        <v>59</v>
      </c>
      <c r="D28" s="81">
        <v>46080</v>
      </c>
      <c r="E28" s="76" t="s">
        <v>187</v>
      </c>
      <c r="F28" s="76" t="s">
        <v>21</v>
      </c>
      <c r="G28" s="82">
        <v>1922.7</v>
      </c>
      <c r="H28" s="82">
        <v>1</v>
      </c>
      <c r="I28" s="82"/>
      <c r="J28" s="82">
        <v>393.26</v>
      </c>
      <c r="K28" s="82">
        <v>403.08</v>
      </c>
      <c r="L28" s="82">
        <f t="shared" si="0"/>
        <v>0</v>
      </c>
      <c r="M28" s="82">
        <v>0</v>
      </c>
      <c r="N28" s="82">
        <v>805.7</v>
      </c>
      <c r="O28" s="82">
        <f t="shared" si="1"/>
        <v>805.7</v>
      </c>
      <c r="P28" s="82">
        <v>1117</v>
      </c>
      <c r="Q28" s="82">
        <v>0</v>
      </c>
      <c r="R28" s="82">
        <v>1117</v>
      </c>
      <c r="S28" s="82">
        <v>713.92</v>
      </c>
      <c r="T28" s="84">
        <v>0.37130000000000002</v>
      </c>
      <c r="U28" s="82">
        <v>713.92</v>
      </c>
      <c r="V28" s="84">
        <v>0.37130000000000002</v>
      </c>
      <c r="W28" s="83">
        <v>0</v>
      </c>
    </row>
    <row r="29" spans="1:23" hidden="1" x14ac:dyDescent="0.25">
      <c r="A29" s="76">
        <v>12760</v>
      </c>
      <c r="B29" s="76" t="s">
        <v>33</v>
      </c>
      <c r="C29" s="76" t="s">
        <v>188</v>
      </c>
      <c r="D29" s="81">
        <v>46072</v>
      </c>
      <c r="E29" s="76" t="s">
        <v>189</v>
      </c>
      <c r="F29" s="76" t="s">
        <v>21</v>
      </c>
      <c r="G29" s="82">
        <v>21480.47</v>
      </c>
      <c r="H29" s="82">
        <v>1</v>
      </c>
      <c r="I29" s="82"/>
      <c r="J29" s="82">
        <v>2423.5500000000002</v>
      </c>
      <c r="K29" s="82">
        <v>2253.63</v>
      </c>
      <c r="L29" s="82">
        <f t="shared" si="0"/>
        <v>0</v>
      </c>
      <c r="M29" s="82">
        <v>0</v>
      </c>
      <c r="N29" s="82">
        <v>14258.66</v>
      </c>
      <c r="O29" s="82">
        <f t="shared" si="1"/>
        <v>14258.66</v>
      </c>
      <c r="P29" s="82">
        <v>7221.81</v>
      </c>
      <c r="Q29" s="82">
        <v>0</v>
      </c>
      <c r="R29" s="82">
        <v>7221.72</v>
      </c>
      <c r="S29" s="82">
        <v>4968.09</v>
      </c>
      <c r="T29" s="84">
        <v>0.34410000000000002</v>
      </c>
      <c r="U29" s="82">
        <v>4798.17</v>
      </c>
      <c r="V29" s="84">
        <v>0.22339999999999999</v>
      </c>
      <c r="W29" s="83">
        <v>0.38</v>
      </c>
    </row>
    <row r="30" spans="1:23" x14ac:dyDescent="0.25">
      <c r="A30" s="76">
        <v>12753</v>
      </c>
      <c r="B30" s="76" t="s">
        <v>50</v>
      </c>
      <c r="C30" s="76" t="s">
        <v>121</v>
      </c>
      <c r="D30" s="81">
        <v>46062</v>
      </c>
      <c r="E30" s="76" t="s">
        <v>190</v>
      </c>
      <c r="F30" s="76" t="s">
        <v>123</v>
      </c>
      <c r="G30" s="82">
        <v>444.96</v>
      </c>
      <c r="H30" s="82">
        <v>17.98</v>
      </c>
      <c r="I30" s="82">
        <f>+G30*H30</f>
        <v>8000.3807999999999</v>
      </c>
      <c r="J30" s="82">
        <v>60.62</v>
      </c>
      <c r="K30" s="82">
        <v>33.409999999999997</v>
      </c>
      <c r="L30" s="82">
        <f t="shared" si="0"/>
        <v>444.96000000000004</v>
      </c>
      <c r="M30" s="82">
        <v>69.16</v>
      </c>
      <c r="N30" s="82">
        <v>31.15</v>
      </c>
      <c r="O30" s="82">
        <f t="shared" si="1"/>
        <v>560.077</v>
      </c>
      <c r="P30" s="77" t="s">
        <v>191</v>
      </c>
      <c r="Q30" s="82">
        <v>375.8</v>
      </c>
      <c r="R30" s="82">
        <v>344.65</v>
      </c>
      <c r="S30" s="82">
        <v>311.24</v>
      </c>
      <c r="T30" s="84">
        <v>0.8357</v>
      </c>
      <c r="U30" s="82">
        <v>284.02999999999997</v>
      </c>
      <c r="V30" s="84">
        <v>0.63829999999999998</v>
      </c>
      <c r="W30" s="83">
        <v>0</v>
      </c>
    </row>
    <row r="31" spans="1:23" hidden="1" x14ac:dyDescent="0.25">
      <c r="A31" s="76">
        <v>12712</v>
      </c>
      <c r="B31" s="76" t="s">
        <v>24</v>
      </c>
      <c r="C31" s="76" t="s">
        <v>59</v>
      </c>
      <c r="D31" s="81">
        <v>46057</v>
      </c>
      <c r="E31" s="76" t="s">
        <v>192</v>
      </c>
      <c r="F31" s="76" t="s">
        <v>21</v>
      </c>
      <c r="G31" s="82">
        <v>19710</v>
      </c>
      <c r="H31" s="82">
        <v>1</v>
      </c>
      <c r="I31" s="82"/>
      <c r="J31" s="82">
        <v>2917.6</v>
      </c>
      <c r="K31" s="82">
        <v>4391.8599999999997</v>
      </c>
      <c r="L31" s="82">
        <f t="shared" si="0"/>
        <v>0</v>
      </c>
      <c r="M31" s="82">
        <v>0</v>
      </c>
      <c r="N31" s="82">
        <v>21799.26</v>
      </c>
      <c r="O31" s="82">
        <f t="shared" si="1"/>
        <v>21799.26</v>
      </c>
      <c r="P31" s="77" t="s">
        <v>175</v>
      </c>
      <c r="Q31" s="82">
        <v>0</v>
      </c>
      <c r="R31" s="77" t="s">
        <v>175</v>
      </c>
      <c r="S31" s="77" t="s">
        <v>176</v>
      </c>
      <c r="T31" s="77" t="s">
        <v>177</v>
      </c>
      <c r="U31" s="77" t="s">
        <v>176</v>
      </c>
      <c r="V31" s="77" t="s">
        <v>177</v>
      </c>
      <c r="W31" s="83">
        <v>0.4</v>
      </c>
    </row>
    <row r="32" spans="1:23" hidden="1" x14ac:dyDescent="0.25">
      <c r="A32" s="76">
        <v>12710</v>
      </c>
      <c r="B32" s="76" t="s">
        <v>33</v>
      </c>
      <c r="C32" s="76" t="s">
        <v>81</v>
      </c>
      <c r="D32" s="81">
        <v>46076</v>
      </c>
      <c r="E32" s="76" t="s">
        <v>193</v>
      </c>
      <c r="F32" s="76" t="s">
        <v>21</v>
      </c>
      <c r="G32" s="82">
        <v>37110.300000000003</v>
      </c>
      <c r="H32" s="82">
        <v>1</v>
      </c>
      <c r="I32" s="82"/>
      <c r="J32" s="82">
        <v>6956.88</v>
      </c>
      <c r="K32" s="82">
        <v>5746.32</v>
      </c>
      <c r="L32" s="82">
        <f t="shared" si="0"/>
        <v>24211.64</v>
      </c>
      <c r="M32" s="82">
        <v>2028.3</v>
      </c>
      <c r="N32" s="82">
        <v>14470.88</v>
      </c>
      <c r="O32" s="82">
        <f t="shared" si="1"/>
        <v>14470.88</v>
      </c>
      <c r="P32" s="77" t="s">
        <v>194</v>
      </c>
      <c r="Q32" s="82">
        <v>22183.34</v>
      </c>
      <c r="R32" s="82">
        <v>20610.95</v>
      </c>
      <c r="S32" s="82">
        <v>14864.63</v>
      </c>
      <c r="T32" s="84">
        <v>0.58799999999999997</v>
      </c>
      <c r="U32" s="82">
        <v>13654.07</v>
      </c>
      <c r="V32" s="84">
        <v>0.3679</v>
      </c>
      <c r="W32" s="83">
        <v>0.35</v>
      </c>
    </row>
    <row r="33" spans="1:23" hidden="1" x14ac:dyDescent="0.25">
      <c r="A33" s="76">
        <v>12704</v>
      </c>
      <c r="B33" s="76" t="s">
        <v>18</v>
      </c>
      <c r="C33" s="76" t="s">
        <v>19</v>
      </c>
      <c r="D33" s="81">
        <v>46078</v>
      </c>
      <c r="E33" s="76" t="s">
        <v>195</v>
      </c>
      <c r="F33" s="76" t="s">
        <v>21</v>
      </c>
      <c r="G33" s="82">
        <v>35074.86</v>
      </c>
      <c r="H33" s="82">
        <v>1</v>
      </c>
      <c r="I33" s="82"/>
      <c r="J33" s="82">
        <v>4425.33</v>
      </c>
      <c r="K33" s="82">
        <v>4303.4799999999996</v>
      </c>
      <c r="L33" s="82">
        <f t="shared" si="0"/>
        <v>18238.14</v>
      </c>
      <c r="M33" s="82">
        <v>10358.200000000001</v>
      </c>
      <c r="N33" s="82">
        <v>11739.05</v>
      </c>
      <c r="O33" s="82">
        <f t="shared" si="1"/>
        <v>11739.05</v>
      </c>
      <c r="P33" s="82">
        <v>5097.67</v>
      </c>
      <c r="Q33" s="82">
        <v>7879.94</v>
      </c>
      <c r="R33" s="82">
        <v>12977.61</v>
      </c>
      <c r="S33" s="82">
        <v>8674.1299999999992</v>
      </c>
      <c r="T33" s="84">
        <v>0.3735</v>
      </c>
      <c r="U33" s="82">
        <v>8552.2800000000007</v>
      </c>
      <c r="V33" s="84">
        <v>0.24379999999999999</v>
      </c>
      <c r="W33" s="83">
        <v>0.35</v>
      </c>
    </row>
    <row r="34" spans="1:23" hidden="1" x14ac:dyDescent="0.25">
      <c r="A34" s="76">
        <v>12535</v>
      </c>
      <c r="B34" s="76" t="s">
        <v>50</v>
      </c>
      <c r="C34" s="76" t="s">
        <v>51</v>
      </c>
      <c r="D34" s="81">
        <v>46058</v>
      </c>
      <c r="E34" s="76" t="s">
        <v>196</v>
      </c>
      <c r="F34" s="76" t="s">
        <v>21</v>
      </c>
      <c r="G34" s="82">
        <v>54551.76</v>
      </c>
      <c r="H34" s="82">
        <v>1</v>
      </c>
      <c r="I34" s="82"/>
      <c r="J34" s="82">
        <v>5798.72</v>
      </c>
      <c r="K34" s="82">
        <v>5070.3599999999997</v>
      </c>
      <c r="L34" s="82">
        <f t="shared" si="0"/>
        <v>12248.46</v>
      </c>
      <c r="M34" s="82">
        <v>6711.46</v>
      </c>
      <c r="N34" s="82">
        <v>21318.46</v>
      </c>
      <c r="O34" s="82">
        <f t="shared" si="1"/>
        <v>21318.46</v>
      </c>
      <c r="P34" s="82">
        <v>20984.84</v>
      </c>
      <c r="Q34" s="82">
        <v>5537</v>
      </c>
      <c r="R34" s="82">
        <v>23398.11</v>
      </c>
      <c r="S34" s="82">
        <v>18327.75</v>
      </c>
      <c r="T34" s="84">
        <v>0.44230000000000003</v>
      </c>
      <c r="U34" s="82">
        <v>17599.39</v>
      </c>
      <c r="V34" s="84">
        <v>0.3226</v>
      </c>
      <c r="W34" s="83">
        <v>0.6</v>
      </c>
    </row>
    <row r="35" spans="1:23" hidden="1" x14ac:dyDescent="0.25">
      <c r="A35" s="76">
        <v>12433</v>
      </c>
      <c r="B35" s="76" t="s">
        <v>18</v>
      </c>
      <c r="C35" s="76" t="s">
        <v>29</v>
      </c>
      <c r="D35" s="81">
        <v>46065</v>
      </c>
      <c r="E35" s="76" t="s">
        <v>197</v>
      </c>
      <c r="F35" s="76" t="s">
        <v>21</v>
      </c>
      <c r="G35" s="82">
        <v>9232.98</v>
      </c>
      <c r="H35" s="82">
        <v>1</v>
      </c>
      <c r="I35" s="82"/>
      <c r="J35" s="82">
        <v>1234.8499999999999</v>
      </c>
      <c r="K35" s="82">
        <v>1022.69</v>
      </c>
      <c r="L35" s="82">
        <f t="shared" si="0"/>
        <v>0</v>
      </c>
      <c r="M35" s="82">
        <v>0</v>
      </c>
      <c r="N35" s="82">
        <v>4829.3100000000004</v>
      </c>
      <c r="O35" s="82">
        <f t="shared" si="1"/>
        <v>4829.3100000000004</v>
      </c>
      <c r="P35" s="82">
        <v>4403.67</v>
      </c>
      <c r="Q35" s="82">
        <v>0</v>
      </c>
      <c r="R35" s="82">
        <v>4403.67</v>
      </c>
      <c r="S35" s="82">
        <v>3380.98</v>
      </c>
      <c r="T35" s="84">
        <v>0.49990000000000001</v>
      </c>
      <c r="U35" s="82">
        <v>3168.82</v>
      </c>
      <c r="V35" s="84">
        <v>0.34320000000000001</v>
      </c>
      <c r="W35" s="83">
        <v>0.5</v>
      </c>
    </row>
    <row r="36" spans="1:23" hidden="1" x14ac:dyDescent="0.25">
      <c r="A36" s="76">
        <v>12332</v>
      </c>
      <c r="B36" s="76" t="s">
        <v>50</v>
      </c>
      <c r="C36" s="76" t="s">
        <v>51</v>
      </c>
      <c r="D36" s="81">
        <v>46078</v>
      </c>
      <c r="E36" s="76" t="s">
        <v>198</v>
      </c>
      <c r="F36" s="76" t="s">
        <v>21</v>
      </c>
      <c r="G36" s="82">
        <v>0.62</v>
      </c>
      <c r="H36" s="82">
        <v>1</v>
      </c>
      <c r="I36" s="82"/>
      <c r="J36" s="82">
        <v>250.09</v>
      </c>
      <c r="K36" s="82">
        <v>2031.31</v>
      </c>
      <c r="L36" s="82">
        <v>0</v>
      </c>
      <c r="M36" s="82">
        <v>1162.95</v>
      </c>
      <c r="N36" s="82">
        <v>9606.8799999999992</v>
      </c>
      <c r="O36" s="82">
        <f t="shared" si="1"/>
        <v>9606.8799999999992</v>
      </c>
      <c r="P36" s="77" t="s">
        <v>199</v>
      </c>
      <c r="Q36" s="77" t="s">
        <v>200</v>
      </c>
      <c r="R36" s="77" t="s">
        <v>201</v>
      </c>
      <c r="S36" s="77" t="s">
        <v>202</v>
      </c>
      <c r="T36" s="77" t="s">
        <v>203</v>
      </c>
      <c r="U36" s="77" t="s">
        <v>202</v>
      </c>
      <c r="V36" s="77" t="s">
        <v>203</v>
      </c>
      <c r="W36" s="83">
        <v>0.2</v>
      </c>
    </row>
    <row r="37" spans="1:23" hidden="1" x14ac:dyDescent="0.25">
      <c r="A37" s="76">
        <v>12115</v>
      </c>
      <c r="B37" s="76" t="s">
        <v>18</v>
      </c>
      <c r="C37" s="76" t="s">
        <v>117</v>
      </c>
      <c r="D37" s="81">
        <v>46078</v>
      </c>
      <c r="E37" s="76" t="s">
        <v>204</v>
      </c>
      <c r="F37" s="76" t="s">
        <v>21</v>
      </c>
      <c r="G37" s="82">
        <v>276992.94</v>
      </c>
      <c r="H37" s="82">
        <v>1</v>
      </c>
      <c r="I37" s="82"/>
      <c r="J37" s="82">
        <v>27245.68</v>
      </c>
      <c r="K37" s="82">
        <v>32840.47</v>
      </c>
      <c r="L37" s="82">
        <f>+M37+Q37</f>
        <v>112332.19</v>
      </c>
      <c r="M37" s="82">
        <v>61500.33</v>
      </c>
      <c r="N37" s="82">
        <v>122971.21</v>
      </c>
      <c r="O37" s="82">
        <f t="shared" si="1"/>
        <v>122971.21</v>
      </c>
      <c r="P37" s="82">
        <v>41689.54</v>
      </c>
      <c r="Q37" s="82">
        <v>50831.86</v>
      </c>
      <c r="R37" s="82">
        <v>92518.41</v>
      </c>
      <c r="S37" s="82">
        <v>59677.94</v>
      </c>
      <c r="T37" s="84">
        <v>0.21540000000000001</v>
      </c>
      <c r="U37" s="82">
        <v>59677.94</v>
      </c>
      <c r="V37" s="84">
        <v>0.21540000000000001</v>
      </c>
      <c r="W37" s="83">
        <v>0.6</v>
      </c>
    </row>
    <row r="38" spans="1:23" hidden="1" x14ac:dyDescent="0.25">
      <c r="A38" s="76">
        <v>12001</v>
      </c>
      <c r="B38" s="76" t="s">
        <v>24</v>
      </c>
      <c r="C38" s="76" t="s">
        <v>59</v>
      </c>
      <c r="D38" s="81">
        <v>46078</v>
      </c>
      <c r="E38" s="76" t="s">
        <v>205</v>
      </c>
      <c r="F38" s="76" t="s">
        <v>21</v>
      </c>
      <c r="G38" s="82">
        <v>20264.84</v>
      </c>
      <c r="H38" s="82">
        <v>1</v>
      </c>
      <c r="I38" s="82"/>
      <c r="J38" s="82">
        <v>2770.92</v>
      </c>
      <c r="K38" s="82">
        <v>5236.8500000000004</v>
      </c>
      <c r="L38" s="82">
        <f>+M38+Q38</f>
        <v>18827.64</v>
      </c>
      <c r="M38" s="82">
        <v>16739.07</v>
      </c>
      <c r="N38" s="82">
        <v>2470.89</v>
      </c>
      <c r="O38" s="82">
        <f t="shared" si="1"/>
        <v>2470.89</v>
      </c>
      <c r="P38" s="77" t="s">
        <v>206</v>
      </c>
      <c r="Q38" s="82">
        <v>2088.5700000000002</v>
      </c>
      <c r="R38" s="82">
        <v>1053.93</v>
      </c>
      <c r="S38" s="77" t="s">
        <v>207</v>
      </c>
      <c r="T38" s="77" t="s">
        <v>208</v>
      </c>
      <c r="U38" s="77" t="s">
        <v>207</v>
      </c>
      <c r="V38" s="77" t="s">
        <v>208</v>
      </c>
      <c r="W38" s="83">
        <v>0</v>
      </c>
    </row>
    <row r="39" spans="1:23" hidden="1" x14ac:dyDescent="0.25">
      <c r="A39" s="76">
        <v>11742</v>
      </c>
      <c r="B39" s="76" t="s">
        <v>18</v>
      </c>
      <c r="C39" s="76" t="s">
        <v>101</v>
      </c>
      <c r="D39" s="81">
        <v>46078</v>
      </c>
      <c r="E39" s="76" t="s">
        <v>209</v>
      </c>
      <c r="F39" s="76" t="s">
        <v>123</v>
      </c>
      <c r="G39" s="82">
        <v>37813.550000000003</v>
      </c>
      <c r="H39" s="82">
        <v>19.57</v>
      </c>
      <c r="I39" s="82">
        <f>+G39*H39</f>
        <v>740011.17350000003</v>
      </c>
      <c r="J39" s="82">
        <v>2280.5500000000002</v>
      </c>
      <c r="K39" s="82">
        <v>1829.79</v>
      </c>
      <c r="L39" s="82">
        <f>+M39+Q39</f>
        <v>4891.5199999999995</v>
      </c>
      <c r="M39" s="82">
        <v>2021.78</v>
      </c>
      <c r="N39" s="82">
        <v>19427.38</v>
      </c>
      <c r="O39" s="82">
        <f t="shared" si="1"/>
        <v>380193.82660000003</v>
      </c>
      <c r="P39" s="82">
        <v>13494.65</v>
      </c>
      <c r="Q39" s="82">
        <v>2869.74</v>
      </c>
      <c r="R39" s="82">
        <v>16315.02</v>
      </c>
      <c r="S39" s="82">
        <v>14485.23</v>
      </c>
      <c r="T39" s="84">
        <v>0.44340000000000002</v>
      </c>
      <c r="U39" s="82">
        <v>14034.47</v>
      </c>
      <c r="V39" s="84">
        <v>0.37109999999999999</v>
      </c>
      <c r="W39" s="83">
        <v>0.36</v>
      </c>
    </row>
    <row r="40" spans="1:23" x14ac:dyDescent="0.25">
      <c r="H40" s="172" t="s">
        <v>416</v>
      </c>
      <c r="I40" s="171">
        <v>19259.603900000002</v>
      </c>
      <c r="L40" s="85">
        <f>SUBTOTAL(9,L2:L39)</f>
        <v>444.96000000000004</v>
      </c>
      <c r="N40" s="85">
        <f>SUBTOTAL(9,N2:N39)</f>
        <v>402.86</v>
      </c>
      <c r="O40" s="179">
        <f>SUM(O2:O39)</f>
        <v>1113110.8957</v>
      </c>
      <c r="P40" s="85">
        <f>SUBTOTAL(9,P2:P39)</f>
        <v>275.58000000000004</v>
      </c>
    </row>
    <row r="41" spans="1:23" x14ac:dyDescent="0.25">
      <c r="H41" s="172" t="s">
        <v>417</v>
      </c>
      <c r="I41" s="173">
        <v>752666.71270000003</v>
      </c>
      <c r="N41" s="150">
        <v>716514.71</v>
      </c>
      <c r="O41" s="150"/>
    </row>
    <row r="42" spans="1:23" x14ac:dyDescent="0.25">
      <c r="C42" s="43">
        <v>17.2286</v>
      </c>
      <c r="D42" s="86" t="s">
        <v>228</v>
      </c>
      <c r="E42" s="86" t="s">
        <v>123</v>
      </c>
      <c r="N42" s="150">
        <v>20373.5</v>
      </c>
      <c r="O42" s="150"/>
    </row>
    <row r="43" spans="1:23" x14ac:dyDescent="0.25">
      <c r="C43" s="87" t="s">
        <v>229</v>
      </c>
      <c r="D43" s="31">
        <v>1128848.6099999999</v>
      </c>
      <c r="E43" s="32">
        <v>5336.48</v>
      </c>
      <c r="N43" s="150">
        <f>+N41+N42*C42</f>
        <v>1067521.5921</v>
      </c>
      <c r="O43" s="150"/>
    </row>
    <row r="44" spans="1:23" x14ac:dyDescent="0.25">
      <c r="C44" s="87" t="s">
        <v>230</v>
      </c>
      <c r="D44" s="31">
        <v>148615.10999999999</v>
      </c>
      <c r="E44" s="32">
        <v>13961.05</v>
      </c>
    </row>
    <row r="45" spans="1:23" x14ac:dyDescent="0.25">
      <c r="C45" s="87"/>
      <c r="D45" s="88">
        <f>+D44+D43</f>
        <v>1277463.7199999997</v>
      </c>
      <c r="E45" s="89">
        <f>+(E43+E44)*C42</f>
        <v>332469.42535799998</v>
      </c>
    </row>
    <row r="46" spans="1:23" x14ac:dyDescent="0.25">
      <c r="C46" s="90" t="s">
        <v>225</v>
      </c>
      <c r="D46" s="91">
        <f>+D45+E45</f>
        <v>1609933.1453579997</v>
      </c>
      <c r="E46" s="92"/>
    </row>
    <row r="47" spans="1:23" x14ac:dyDescent="0.25">
      <c r="C47" s="87" t="s">
        <v>231</v>
      </c>
      <c r="D47" s="88">
        <v>1259904.0499999996</v>
      </c>
      <c r="E47" s="92"/>
    </row>
    <row r="48" spans="1:23" x14ac:dyDescent="0.25">
      <c r="C48" s="93" t="s">
        <v>232</v>
      </c>
      <c r="D48" s="94">
        <f>+D46-D47</f>
        <v>350029.09535800014</v>
      </c>
      <c r="E48" s="95"/>
    </row>
  </sheetData>
  <autoFilter ref="A1:W48" xr:uid="{FA7F420B-6AFE-401C-9F8D-2FAC4590A1C4}">
    <filterColumn colId="1">
      <filters>
        <filter val="ALFREDO PALOMINO"/>
      </filters>
    </filterColumn>
    <filterColumn colId="5">
      <filters>
        <filter val="US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3582-35B2-4D68-AB00-15523357D03B}">
  <sheetPr filterMode="1"/>
  <dimension ref="A1:W57"/>
  <sheetViews>
    <sheetView zoomScale="85" zoomScaleNormal="85" workbookViewId="0">
      <selection activeCell="E70" sqref="E70"/>
    </sheetView>
  </sheetViews>
  <sheetFormatPr baseColWidth="10" defaultRowHeight="13.2" x14ac:dyDescent="0.25"/>
  <cols>
    <col min="1" max="1" width="11.5546875" style="49"/>
    <col min="2" max="2" width="18.21875" style="46" customWidth="1"/>
    <col min="3" max="3" width="17.5546875" style="46" customWidth="1"/>
    <col min="4" max="4" width="12.5546875" style="62" customWidth="1"/>
    <col min="5" max="5" width="33.109375" style="46" customWidth="1"/>
    <col min="6" max="6" width="9.109375" style="46" customWidth="1"/>
    <col min="7" max="7" width="15.77734375" style="62" bestFit="1" customWidth="1"/>
    <col min="8" max="9" width="15.77734375" style="62" customWidth="1"/>
    <col min="10" max="10" width="11.5546875" style="62"/>
    <col min="11" max="11" width="13.5546875" style="62" bestFit="1" customWidth="1"/>
    <col min="12" max="12" width="13.5546875" style="62" customWidth="1"/>
    <col min="13" max="13" width="14.88671875" style="62" bestFit="1" customWidth="1"/>
    <col min="14" max="14" width="14.21875" style="62" bestFit="1" customWidth="1"/>
    <col min="15" max="15" width="14.21875" style="62" customWidth="1"/>
    <col min="16" max="16" width="11.5546875" style="62"/>
    <col min="17" max="17" width="18.109375" style="62" bestFit="1" customWidth="1"/>
    <col min="18" max="18" width="14" style="62" customWidth="1"/>
    <col min="19" max="19" width="15.33203125" style="62" customWidth="1"/>
    <col min="20" max="20" width="11.5546875" style="62"/>
    <col min="21" max="21" width="12.77734375" style="62" customWidth="1"/>
    <col min="22" max="22" width="11.5546875" style="62"/>
    <col min="23" max="23" width="15.77734375" style="62" customWidth="1"/>
    <col min="24" max="16384" width="11.5546875" style="46"/>
  </cols>
  <sheetData>
    <row r="1" spans="1:23" x14ac:dyDescent="0.25">
      <c r="A1" s="48" t="s">
        <v>0</v>
      </c>
      <c r="B1" s="47" t="s">
        <v>1</v>
      </c>
      <c r="C1" s="47" t="s">
        <v>2</v>
      </c>
      <c r="D1" s="57" t="s">
        <v>3</v>
      </c>
      <c r="E1" s="47" t="s">
        <v>4</v>
      </c>
      <c r="F1" s="47" t="s">
        <v>5</v>
      </c>
      <c r="G1" s="57" t="s">
        <v>6</v>
      </c>
      <c r="H1" s="57" t="s">
        <v>301</v>
      </c>
      <c r="I1" s="57"/>
      <c r="J1" s="57" t="s">
        <v>7</v>
      </c>
      <c r="K1" s="57" t="s">
        <v>8</v>
      </c>
      <c r="L1" s="58" t="s">
        <v>233</v>
      </c>
      <c r="M1" s="57" t="s">
        <v>9</v>
      </c>
      <c r="N1" s="151" t="s">
        <v>10</v>
      </c>
      <c r="O1" s="180"/>
      <c r="P1" s="58" t="s">
        <v>11</v>
      </c>
      <c r="Q1" s="57" t="s">
        <v>12</v>
      </c>
      <c r="R1" s="57" t="s">
        <v>13</v>
      </c>
      <c r="S1" s="57" t="s">
        <v>235</v>
      </c>
      <c r="T1" s="57" t="s">
        <v>15</v>
      </c>
      <c r="U1" s="57" t="s">
        <v>16</v>
      </c>
      <c r="V1" s="57" t="s">
        <v>17</v>
      </c>
      <c r="W1" s="57" t="s">
        <v>143</v>
      </c>
    </row>
    <row r="2" spans="1:23" hidden="1" x14ac:dyDescent="0.25">
      <c r="A2" s="48">
        <v>13127</v>
      </c>
      <c r="B2" s="47" t="s">
        <v>74</v>
      </c>
      <c r="C2" s="47" t="s">
        <v>51</v>
      </c>
      <c r="D2" s="63">
        <v>46106</v>
      </c>
      <c r="E2" s="47" t="s">
        <v>236</v>
      </c>
      <c r="F2" s="47" t="s">
        <v>21</v>
      </c>
      <c r="G2" s="59">
        <v>4633.0200000000004</v>
      </c>
      <c r="H2" s="59">
        <v>1</v>
      </c>
      <c r="I2" s="59"/>
      <c r="J2" s="59">
        <v>744.19</v>
      </c>
      <c r="K2" s="59">
        <v>616.57000000000005</v>
      </c>
      <c r="L2" s="59">
        <f>+M2+Q2</f>
        <v>0</v>
      </c>
      <c r="M2" s="59">
        <v>0</v>
      </c>
      <c r="N2" s="59">
        <v>2291.1</v>
      </c>
      <c r="O2" s="59">
        <f>+N2*H2</f>
        <v>2291.1</v>
      </c>
      <c r="P2" s="59">
        <v>2341.92</v>
      </c>
      <c r="Q2" s="59">
        <v>0</v>
      </c>
      <c r="R2" s="59">
        <v>2341.92</v>
      </c>
      <c r="S2" s="59">
        <v>1725.35</v>
      </c>
      <c r="T2" s="60">
        <v>0.53300000000000003</v>
      </c>
      <c r="U2" s="59">
        <v>1597.73</v>
      </c>
      <c r="V2" s="60">
        <v>0.34489999999999998</v>
      </c>
      <c r="W2" s="61">
        <v>0.5</v>
      </c>
    </row>
    <row r="3" spans="1:23" x14ac:dyDescent="0.25">
      <c r="A3" s="48">
        <v>13126</v>
      </c>
      <c r="B3" s="47" t="s">
        <v>24</v>
      </c>
      <c r="C3" s="47" t="s">
        <v>135</v>
      </c>
      <c r="D3" s="63">
        <v>46112</v>
      </c>
      <c r="E3" s="47" t="s">
        <v>237</v>
      </c>
      <c r="F3" s="47" t="s">
        <v>21</v>
      </c>
      <c r="G3" s="59">
        <v>30185.73</v>
      </c>
      <c r="H3" s="59">
        <v>1</v>
      </c>
      <c r="I3" s="59"/>
      <c r="J3" s="59">
        <v>3935.31</v>
      </c>
      <c r="K3" s="59">
        <v>553.97</v>
      </c>
      <c r="L3" s="59">
        <f>+M3+Q3</f>
        <v>21866.83</v>
      </c>
      <c r="M3" s="59">
        <v>0</v>
      </c>
      <c r="N3" s="59">
        <v>1599.84</v>
      </c>
      <c r="O3" s="59">
        <f t="shared" ref="O3:O42" si="0">+N3*H3</f>
        <v>1599.84</v>
      </c>
      <c r="P3" s="59">
        <v>6719.06</v>
      </c>
      <c r="Q3" s="59">
        <v>21866.83</v>
      </c>
      <c r="R3" s="59">
        <v>28585.89</v>
      </c>
      <c r="S3" s="59">
        <v>28031.919999999998</v>
      </c>
      <c r="T3" s="60">
        <v>1.0589999999999999</v>
      </c>
      <c r="U3" s="59">
        <v>24650.58</v>
      </c>
      <c r="V3" s="60">
        <v>0.81659999999999999</v>
      </c>
      <c r="W3" s="61">
        <v>0.36</v>
      </c>
    </row>
    <row r="4" spans="1:23" hidden="1" x14ac:dyDescent="0.25">
      <c r="A4" s="48">
        <v>13115</v>
      </c>
      <c r="B4" s="47" t="s">
        <v>33</v>
      </c>
      <c r="C4" s="47" t="s">
        <v>178</v>
      </c>
      <c r="D4" s="63">
        <v>46111</v>
      </c>
      <c r="E4" s="47" t="s">
        <v>238</v>
      </c>
      <c r="F4" s="47" t="s">
        <v>21</v>
      </c>
      <c r="G4" s="59">
        <v>121920.27</v>
      </c>
      <c r="H4" s="59">
        <v>1</v>
      </c>
      <c r="I4" s="59"/>
      <c r="J4" s="59">
        <v>16327.26</v>
      </c>
      <c r="K4" s="59">
        <v>14557.27</v>
      </c>
      <c r="L4" s="59">
        <f t="shared" ref="L4:L42" si="1">+M4+Q4</f>
        <v>30907.93</v>
      </c>
      <c r="M4" s="59">
        <v>19467.8</v>
      </c>
      <c r="N4" s="59">
        <v>49806.38</v>
      </c>
      <c r="O4" s="59">
        <f t="shared" si="0"/>
        <v>49806.38</v>
      </c>
      <c r="P4" s="59">
        <v>41205.96</v>
      </c>
      <c r="Q4" s="59">
        <v>11440.13</v>
      </c>
      <c r="R4" s="59">
        <v>52644.12</v>
      </c>
      <c r="S4" s="59">
        <v>38086.85</v>
      </c>
      <c r="T4" s="60">
        <v>0.44629999999999997</v>
      </c>
      <c r="U4" s="59">
        <v>36316.86</v>
      </c>
      <c r="V4" s="60">
        <v>0.2979</v>
      </c>
      <c r="W4" s="61">
        <v>0.35</v>
      </c>
    </row>
    <row r="5" spans="1:23" x14ac:dyDescent="0.25">
      <c r="A5" s="48">
        <v>13112</v>
      </c>
      <c r="B5" s="47" t="s">
        <v>24</v>
      </c>
      <c r="C5" s="47" t="s">
        <v>59</v>
      </c>
      <c r="D5" s="63">
        <v>46111</v>
      </c>
      <c r="E5" s="47" t="s">
        <v>239</v>
      </c>
      <c r="F5" s="47" t="s">
        <v>21</v>
      </c>
      <c r="G5" s="59">
        <v>19710</v>
      </c>
      <c r="H5" s="59">
        <v>1</v>
      </c>
      <c r="I5" s="59"/>
      <c r="J5" s="59">
        <v>2917.6</v>
      </c>
      <c r="K5" s="59">
        <v>4391.8599999999997</v>
      </c>
      <c r="L5" s="59">
        <f t="shared" si="1"/>
        <v>0</v>
      </c>
      <c r="M5" s="59">
        <v>0</v>
      </c>
      <c r="N5" s="59">
        <v>21799.26</v>
      </c>
      <c r="O5" s="59">
        <f t="shared" si="0"/>
        <v>21799.26</v>
      </c>
      <c r="P5" s="57" t="s">
        <v>175</v>
      </c>
      <c r="Q5" s="59">
        <v>0</v>
      </c>
      <c r="R5" s="57" t="s">
        <v>175</v>
      </c>
      <c r="S5" s="57" t="s">
        <v>176</v>
      </c>
      <c r="T5" s="57" t="s">
        <v>177</v>
      </c>
      <c r="U5" s="57" t="s">
        <v>176</v>
      </c>
      <c r="V5" s="57" t="s">
        <v>177</v>
      </c>
      <c r="W5" s="61">
        <v>0.4</v>
      </c>
    </row>
    <row r="6" spans="1:23" hidden="1" x14ac:dyDescent="0.25">
      <c r="A6" s="48">
        <v>13111</v>
      </c>
      <c r="B6" s="47" t="s">
        <v>50</v>
      </c>
      <c r="C6" s="47" t="s">
        <v>51</v>
      </c>
      <c r="D6" s="63">
        <v>46106</v>
      </c>
      <c r="E6" s="47" t="s">
        <v>240</v>
      </c>
      <c r="F6" s="47" t="s">
        <v>21</v>
      </c>
      <c r="G6" s="59">
        <v>1511.11</v>
      </c>
      <c r="H6" s="59">
        <v>1</v>
      </c>
      <c r="I6" s="59"/>
      <c r="J6" s="59">
        <v>392.23</v>
      </c>
      <c r="K6" s="59">
        <v>417.85</v>
      </c>
      <c r="L6" s="59">
        <f t="shared" si="1"/>
        <v>0</v>
      </c>
      <c r="M6" s="59">
        <v>0</v>
      </c>
      <c r="N6" s="59">
        <v>1049.06</v>
      </c>
      <c r="O6" s="59">
        <f t="shared" si="0"/>
        <v>1049.06</v>
      </c>
      <c r="P6" s="59">
        <v>462.05</v>
      </c>
      <c r="Q6" s="59">
        <v>0</v>
      </c>
      <c r="R6" s="59">
        <v>462.05</v>
      </c>
      <c r="S6" s="59">
        <v>44.2</v>
      </c>
      <c r="T6" s="60">
        <v>2.93E-2</v>
      </c>
      <c r="U6" s="59">
        <v>44.2</v>
      </c>
      <c r="V6" s="60">
        <v>2.93E-2</v>
      </c>
      <c r="W6" s="61">
        <v>0.7</v>
      </c>
    </row>
    <row r="7" spans="1:23" hidden="1" x14ac:dyDescent="0.25">
      <c r="A7" s="48">
        <v>13110</v>
      </c>
      <c r="B7" s="47" t="s">
        <v>50</v>
      </c>
      <c r="C7" s="47" t="s">
        <v>51</v>
      </c>
      <c r="D7" s="63">
        <v>46106</v>
      </c>
      <c r="E7" s="47" t="s">
        <v>241</v>
      </c>
      <c r="F7" s="47" t="s">
        <v>21</v>
      </c>
      <c r="G7" s="59">
        <v>2125.0500000000002</v>
      </c>
      <c r="H7" s="59">
        <v>1</v>
      </c>
      <c r="I7" s="59"/>
      <c r="J7" s="59">
        <v>404.55</v>
      </c>
      <c r="K7" s="59">
        <v>455.13</v>
      </c>
      <c r="L7" s="59">
        <f t="shared" si="1"/>
        <v>0</v>
      </c>
      <c r="M7" s="59">
        <v>0</v>
      </c>
      <c r="N7" s="59">
        <v>1282.1099999999999</v>
      </c>
      <c r="O7" s="59">
        <f t="shared" si="0"/>
        <v>1282.1099999999999</v>
      </c>
      <c r="P7" s="59">
        <v>842.94</v>
      </c>
      <c r="Q7" s="59">
        <v>0</v>
      </c>
      <c r="R7" s="59">
        <v>802.94</v>
      </c>
      <c r="S7" s="59">
        <v>347.81</v>
      </c>
      <c r="T7" s="60">
        <v>0.16370000000000001</v>
      </c>
      <c r="U7" s="59">
        <v>347.81</v>
      </c>
      <c r="V7" s="60">
        <v>0.16370000000000001</v>
      </c>
      <c r="W7" s="61">
        <v>0</v>
      </c>
    </row>
    <row r="8" spans="1:23" hidden="1" x14ac:dyDescent="0.25">
      <c r="A8" s="48">
        <v>13109</v>
      </c>
      <c r="B8" s="47" t="s">
        <v>74</v>
      </c>
      <c r="C8" s="47" t="s">
        <v>51</v>
      </c>
      <c r="D8" s="63">
        <v>46112</v>
      </c>
      <c r="E8" s="47" t="s">
        <v>242</v>
      </c>
      <c r="F8" s="47" t="s">
        <v>21</v>
      </c>
      <c r="G8" s="59">
        <v>7620.8</v>
      </c>
      <c r="H8" s="59">
        <v>1</v>
      </c>
      <c r="I8" s="59"/>
      <c r="J8" s="59">
        <v>815.09</v>
      </c>
      <c r="K8" s="59">
        <v>1431.72</v>
      </c>
      <c r="L8" s="59">
        <f t="shared" si="1"/>
        <v>6076.46</v>
      </c>
      <c r="M8" s="59">
        <v>0</v>
      </c>
      <c r="N8" s="59">
        <v>7385.79</v>
      </c>
      <c r="O8" s="59">
        <f t="shared" si="0"/>
        <v>7385.79</v>
      </c>
      <c r="P8" s="57" t="s">
        <v>243</v>
      </c>
      <c r="Q8" s="59">
        <v>6076.46</v>
      </c>
      <c r="R8" s="59">
        <v>235.01</v>
      </c>
      <c r="S8" s="57" t="s">
        <v>244</v>
      </c>
      <c r="T8" s="57" t="s">
        <v>245</v>
      </c>
      <c r="U8" s="57" t="s">
        <v>244</v>
      </c>
      <c r="V8" s="57" t="s">
        <v>245</v>
      </c>
      <c r="W8" s="61">
        <v>0</v>
      </c>
    </row>
    <row r="9" spans="1:23" hidden="1" x14ac:dyDescent="0.25">
      <c r="A9" s="48">
        <v>13108</v>
      </c>
      <c r="B9" s="47" t="s">
        <v>33</v>
      </c>
      <c r="C9" s="47" t="s">
        <v>38</v>
      </c>
      <c r="D9" s="63">
        <v>46098</v>
      </c>
      <c r="E9" s="47" t="s">
        <v>246</v>
      </c>
      <c r="F9" s="47" t="s">
        <v>21</v>
      </c>
      <c r="G9" s="59">
        <v>3426.84</v>
      </c>
      <c r="H9" s="59">
        <v>1</v>
      </c>
      <c r="I9" s="59"/>
      <c r="J9" s="59">
        <v>469</v>
      </c>
      <c r="K9" s="59">
        <v>459.46</v>
      </c>
      <c r="L9" s="59">
        <f t="shared" si="1"/>
        <v>0</v>
      </c>
      <c r="M9" s="59">
        <v>0</v>
      </c>
      <c r="N9" s="59">
        <v>1981.9</v>
      </c>
      <c r="O9" s="59">
        <f t="shared" si="0"/>
        <v>1981.9</v>
      </c>
      <c r="P9" s="59">
        <v>1444.94</v>
      </c>
      <c r="Q9" s="59">
        <v>0</v>
      </c>
      <c r="R9" s="59">
        <v>1444.94</v>
      </c>
      <c r="S9" s="59">
        <v>985.48</v>
      </c>
      <c r="T9" s="60">
        <v>0.4244</v>
      </c>
      <c r="U9" s="59">
        <v>975.94</v>
      </c>
      <c r="V9" s="60">
        <v>0.2848</v>
      </c>
      <c r="W9" s="61">
        <v>0.49</v>
      </c>
    </row>
    <row r="10" spans="1:23" hidden="1" x14ac:dyDescent="0.25">
      <c r="A10" s="48">
        <v>13107</v>
      </c>
      <c r="B10" s="47" t="s">
        <v>74</v>
      </c>
      <c r="C10" s="47" t="s">
        <v>59</v>
      </c>
      <c r="D10" s="63">
        <v>46099</v>
      </c>
      <c r="E10" s="47" t="s">
        <v>247</v>
      </c>
      <c r="F10" s="47" t="s">
        <v>21</v>
      </c>
      <c r="G10" s="59">
        <v>40293.370000000003</v>
      </c>
      <c r="H10" s="59">
        <v>1</v>
      </c>
      <c r="I10" s="59"/>
      <c r="J10" s="59">
        <v>3535.61</v>
      </c>
      <c r="K10" s="59">
        <v>1924.02</v>
      </c>
      <c r="L10" s="59">
        <v>0</v>
      </c>
      <c r="M10" s="59">
        <v>2939.59</v>
      </c>
      <c r="N10" s="59">
        <v>6604.36</v>
      </c>
      <c r="O10" s="59">
        <f t="shared" si="0"/>
        <v>6604.36</v>
      </c>
      <c r="P10" s="59">
        <v>33689.01</v>
      </c>
      <c r="Q10" s="57" t="s">
        <v>248</v>
      </c>
      <c r="R10" s="59">
        <v>30749.42</v>
      </c>
      <c r="S10" s="59">
        <v>28825.4</v>
      </c>
      <c r="T10" s="60">
        <v>0.80310000000000004</v>
      </c>
      <c r="U10" s="59">
        <v>27213.81</v>
      </c>
      <c r="V10" s="60">
        <v>0.6754</v>
      </c>
      <c r="W10" s="61">
        <v>0.95</v>
      </c>
    </row>
    <row r="11" spans="1:23" hidden="1" x14ac:dyDescent="0.25">
      <c r="A11" s="48">
        <v>13103</v>
      </c>
      <c r="B11" s="47" t="s">
        <v>50</v>
      </c>
      <c r="C11" s="47" t="s">
        <v>51</v>
      </c>
      <c r="D11" s="63">
        <v>46104</v>
      </c>
      <c r="E11" s="47" t="s">
        <v>249</v>
      </c>
      <c r="F11" s="47" t="s">
        <v>21</v>
      </c>
      <c r="G11" s="59">
        <v>10939.5</v>
      </c>
      <c r="H11" s="59">
        <v>1</v>
      </c>
      <c r="I11" s="59"/>
      <c r="J11" s="59">
        <v>0</v>
      </c>
      <c r="K11" s="59">
        <v>0</v>
      </c>
      <c r="L11" s="59">
        <f t="shared" si="1"/>
        <v>0</v>
      </c>
      <c r="M11" s="59">
        <v>0</v>
      </c>
      <c r="N11" s="59">
        <v>10939.5</v>
      </c>
      <c r="O11" s="59">
        <f t="shared" si="0"/>
        <v>10939.5</v>
      </c>
      <c r="P11" s="59">
        <v>0</v>
      </c>
      <c r="Q11" s="59">
        <v>0</v>
      </c>
      <c r="R11" s="59">
        <v>0</v>
      </c>
      <c r="S11" s="59">
        <v>0</v>
      </c>
      <c r="T11" s="60">
        <v>0</v>
      </c>
      <c r="U11" s="59">
        <v>0</v>
      </c>
      <c r="V11" s="60">
        <v>0</v>
      </c>
      <c r="W11" s="61">
        <v>0.1</v>
      </c>
    </row>
    <row r="12" spans="1:23" x14ac:dyDescent="0.25">
      <c r="A12" s="48">
        <v>13087</v>
      </c>
      <c r="B12" s="47" t="s">
        <v>24</v>
      </c>
      <c r="C12" s="47" t="s">
        <v>250</v>
      </c>
      <c r="D12" s="63">
        <v>46091</v>
      </c>
      <c r="E12" s="47" t="s">
        <v>251</v>
      </c>
      <c r="F12" s="47" t="s">
        <v>21</v>
      </c>
      <c r="G12" s="59">
        <v>43213.34</v>
      </c>
      <c r="H12" s="59">
        <v>1</v>
      </c>
      <c r="I12" s="59"/>
      <c r="J12" s="59">
        <v>7587.86</v>
      </c>
      <c r="K12" s="59">
        <v>5924.37</v>
      </c>
      <c r="L12" s="59">
        <f t="shared" si="1"/>
        <v>34819.78</v>
      </c>
      <c r="M12" s="59">
        <v>11739.15</v>
      </c>
      <c r="N12" s="59">
        <v>2869.75</v>
      </c>
      <c r="O12" s="59">
        <f t="shared" si="0"/>
        <v>2869.75</v>
      </c>
      <c r="P12" s="59">
        <v>5523.81</v>
      </c>
      <c r="Q12" s="59">
        <v>23080.63</v>
      </c>
      <c r="R12" s="59">
        <v>28604.44</v>
      </c>
      <c r="S12" s="59">
        <v>22680.07</v>
      </c>
      <c r="T12" s="60">
        <v>0.70040000000000002</v>
      </c>
      <c r="U12" s="59">
        <v>21016.58</v>
      </c>
      <c r="V12" s="60">
        <v>0.48630000000000001</v>
      </c>
      <c r="W12" s="61">
        <v>0.41</v>
      </c>
    </row>
    <row r="13" spans="1:23" hidden="1" x14ac:dyDescent="0.25">
      <c r="A13" s="48">
        <v>13072</v>
      </c>
      <c r="B13" s="47" t="s">
        <v>50</v>
      </c>
      <c r="C13" s="47" t="s">
        <v>51</v>
      </c>
      <c r="D13" s="63">
        <v>46106</v>
      </c>
      <c r="E13" s="47" t="s">
        <v>252</v>
      </c>
      <c r="F13" s="47" t="s">
        <v>21</v>
      </c>
      <c r="G13" s="59">
        <v>2126.1</v>
      </c>
      <c r="H13" s="59">
        <v>1</v>
      </c>
      <c r="I13" s="59"/>
      <c r="J13" s="59">
        <v>429.04</v>
      </c>
      <c r="K13" s="59">
        <v>455.23</v>
      </c>
      <c r="L13" s="59">
        <f t="shared" si="1"/>
        <v>0</v>
      </c>
      <c r="M13" s="59">
        <v>0</v>
      </c>
      <c r="N13" s="59">
        <v>1282.73</v>
      </c>
      <c r="O13" s="59">
        <f t="shared" si="0"/>
        <v>1282.73</v>
      </c>
      <c r="P13" s="59">
        <v>843.37</v>
      </c>
      <c r="Q13" s="59">
        <v>0</v>
      </c>
      <c r="R13" s="59">
        <v>803.37</v>
      </c>
      <c r="S13" s="59">
        <v>348.14</v>
      </c>
      <c r="T13" s="60">
        <v>0.16370000000000001</v>
      </c>
      <c r="U13" s="59">
        <v>348.14</v>
      </c>
      <c r="V13" s="60">
        <v>0.16370000000000001</v>
      </c>
      <c r="W13" s="61">
        <v>0.9</v>
      </c>
    </row>
    <row r="14" spans="1:23" hidden="1" x14ac:dyDescent="0.25">
      <c r="A14" s="48">
        <v>13067</v>
      </c>
      <c r="B14" s="47" t="s">
        <v>50</v>
      </c>
      <c r="C14" s="47" t="s">
        <v>51</v>
      </c>
      <c r="D14" s="63">
        <v>46098</v>
      </c>
      <c r="E14" s="47" t="s">
        <v>253</v>
      </c>
      <c r="F14" s="47" t="s">
        <v>21</v>
      </c>
      <c r="G14" s="59">
        <v>1182.72</v>
      </c>
      <c r="H14" s="59">
        <v>1</v>
      </c>
      <c r="I14" s="59"/>
      <c r="J14" s="59">
        <v>336.02</v>
      </c>
      <c r="K14" s="59">
        <v>352.99</v>
      </c>
      <c r="L14" s="59">
        <f t="shared" si="1"/>
        <v>0</v>
      </c>
      <c r="M14" s="59">
        <v>0</v>
      </c>
      <c r="N14" s="59">
        <v>643.66999999999996</v>
      </c>
      <c r="O14" s="59">
        <f t="shared" si="0"/>
        <v>643.66999999999996</v>
      </c>
      <c r="P14" s="59">
        <v>539.04999999999995</v>
      </c>
      <c r="Q14" s="59">
        <v>0</v>
      </c>
      <c r="R14" s="59">
        <v>419.05</v>
      </c>
      <c r="S14" s="59">
        <v>66.06</v>
      </c>
      <c r="T14" s="60">
        <v>5.5899999999999998E-2</v>
      </c>
      <c r="U14" s="59">
        <v>66.06</v>
      </c>
      <c r="V14" s="60">
        <v>5.5899999999999998E-2</v>
      </c>
      <c r="W14" s="61">
        <v>0</v>
      </c>
    </row>
    <row r="15" spans="1:23" hidden="1" x14ac:dyDescent="0.25">
      <c r="A15" s="48">
        <v>13061</v>
      </c>
      <c r="B15" s="47" t="s">
        <v>50</v>
      </c>
      <c r="C15" s="47" t="s">
        <v>51</v>
      </c>
      <c r="D15" s="63">
        <v>46098</v>
      </c>
      <c r="E15" s="47" t="s">
        <v>254</v>
      </c>
      <c r="F15" s="47" t="s">
        <v>21</v>
      </c>
      <c r="G15" s="59">
        <v>10274.98</v>
      </c>
      <c r="H15" s="59">
        <v>1</v>
      </c>
      <c r="I15" s="59"/>
      <c r="J15" s="59">
        <v>1365.47</v>
      </c>
      <c r="K15" s="59">
        <v>1133.32</v>
      </c>
      <c r="L15" s="59">
        <f t="shared" si="1"/>
        <v>4220.58</v>
      </c>
      <c r="M15" s="59">
        <v>1049.8599999999999</v>
      </c>
      <c r="N15" s="59">
        <v>4142.71</v>
      </c>
      <c r="O15" s="59">
        <f t="shared" si="0"/>
        <v>4142.71</v>
      </c>
      <c r="P15" s="59">
        <v>1911.69</v>
      </c>
      <c r="Q15" s="59">
        <v>3170.72</v>
      </c>
      <c r="R15" s="59">
        <v>5081.53</v>
      </c>
      <c r="S15" s="59">
        <v>3948.21</v>
      </c>
      <c r="T15" s="60">
        <v>0.5171</v>
      </c>
      <c r="U15" s="59">
        <v>3716.06</v>
      </c>
      <c r="V15" s="60">
        <v>0.36170000000000002</v>
      </c>
      <c r="W15" s="61">
        <v>0.44</v>
      </c>
    </row>
    <row r="16" spans="1:23" hidden="1" x14ac:dyDescent="0.25">
      <c r="A16" s="48">
        <v>13058</v>
      </c>
      <c r="B16" s="47" t="s">
        <v>33</v>
      </c>
      <c r="C16" s="47" t="s">
        <v>155</v>
      </c>
      <c r="D16" s="63">
        <v>46092</v>
      </c>
      <c r="E16" s="47" t="s">
        <v>255</v>
      </c>
      <c r="F16" s="47" t="s">
        <v>21</v>
      </c>
      <c r="G16" s="59">
        <v>31800</v>
      </c>
      <c r="H16" s="59">
        <v>1</v>
      </c>
      <c r="I16" s="59"/>
      <c r="J16" s="59">
        <v>2100</v>
      </c>
      <c r="K16" s="59">
        <v>2529.3000000000002</v>
      </c>
      <c r="L16" s="59">
        <f t="shared" si="1"/>
        <v>0</v>
      </c>
      <c r="M16" s="59">
        <v>0</v>
      </c>
      <c r="N16" s="59">
        <v>24770</v>
      </c>
      <c r="O16" s="59">
        <f t="shared" si="0"/>
        <v>24770</v>
      </c>
      <c r="P16" s="59">
        <v>7030</v>
      </c>
      <c r="Q16" s="59">
        <v>0</v>
      </c>
      <c r="R16" s="59">
        <v>7030</v>
      </c>
      <c r="S16" s="59">
        <v>4500.7</v>
      </c>
      <c r="T16" s="60">
        <v>0.14149999999999999</v>
      </c>
      <c r="U16" s="59">
        <v>4500.7</v>
      </c>
      <c r="V16" s="60">
        <v>0.14149999999999999</v>
      </c>
      <c r="W16" s="61">
        <v>0.59</v>
      </c>
    </row>
    <row r="17" spans="1:23" x14ac:dyDescent="0.25">
      <c r="A17" s="48">
        <v>13041</v>
      </c>
      <c r="B17" s="47" t="s">
        <v>24</v>
      </c>
      <c r="C17" s="47" t="s">
        <v>135</v>
      </c>
      <c r="D17" s="63">
        <v>46093</v>
      </c>
      <c r="E17" s="47" t="s">
        <v>256</v>
      </c>
      <c r="F17" s="47" t="s">
        <v>21</v>
      </c>
      <c r="G17" s="59">
        <v>34601.160000000003</v>
      </c>
      <c r="H17" s="59">
        <v>1</v>
      </c>
      <c r="I17" s="59"/>
      <c r="J17" s="59">
        <v>3935.31</v>
      </c>
      <c r="K17" s="59">
        <v>3468.26</v>
      </c>
      <c r="L17" s="59">
        <f t="shared" ref="L17" si="2">+M17+Q17</f>
        <v>26282.26</v>
      </c>
      <c r="M17" s="59">
        <v>5561.39</v>
      </c>
      <c r="N17" s="59">
        <v>9913.33</v>
      </c>
      <c r="O17" s="59">
        <f t="shared" ref="O17" si="3">+N17*H17</f>
        <v>9913.33</v>
      </c>
      <c r="P17" s="57" t="s">
        <v>257</v>
      </c>
      <c r="Q17" s="59">
        <v>20720.87</v>
      </c>
      <c r="R17" s="59">
        <v>19126.439999999999</v>
      </c>
      <c r="S17" s="59">
        <v>15658.18</v>
      </c>
      <c r="T17" s="60">
        <v>0.56630000000000003</v>
      </c>
      <c r="U17" s="59">
        <v>15191.13</v>
      </c>
      <c r="V17" s="60">
        <v>0.439</v>
      </c>
      <c r="W17" s="61">
        <v>0.36</v>
      </c>
    </row>
    <row r="18" spans="1:23" x14ac:dyDescent="0.25">
      <c r="A18" s="48">
        <v>13042</v>
      </c>
      <c r="B18" s="47" t="s">
        <v>24</v>
      </c>
      <c r="C18" s="47" t="s">
        <v>135</v>
      </c>
      <c r="D18" s="63">
        <v>46099</v>
      </c>
      <c r="E18" s="47"/>
      <c r="F18" s="47" t="s">
        <v>21</v>
      </c>
      <c r="G18" s="59">
        <v>5765.14</v>
      </c>
      <c r="H18" s="59">
        <v>1</v>
      </c>
      <c r="I18" s="59"/>
      <c r="J18" s="59">
        <v>1283.3499999999999</v>
      </c>
      <c r="K18" s="59">
        <v>308.06</v>
      </c>
      <c r="L18" s="59">
        <f t="shared" si="1"/>
        <v>5765.14</v>
      </c>
      <c r="M18" s="59">
        <v>0</v>
      </c>
      <c r="N18" s="59">
        <v>305.55</v>
      </c>
      <c r="O18" s="59">
        <f>+N18*H18</f>
        <v>305.55</v>
      </c>
      <c r="P18" s="57">
        <v>-305.55</v>
      </c>
      <c r="Q18" s="59">
        <v>5765.14</v>
      </c>
      <c r="R18" s="59"/>
      <c r="S18" s="59"/>
      <c r="T18" s="60"/>
      <c r="U18" s="59"/>
      <c r="V18" s="60"/>
      <c r="W18" s="61"/>
    </row>
    <row r="19" spans="1:23" x14ac:dyDescent="0.25">
      <c r="A19" s="48">
        <v>13035</v>
      </c>
      <c r="B19" s="47" t="s">
        <v>24</v>
      </c>
      <c r="C19" s="47" t="s">
        <v>59</v>
      </c>
      <c r="D19" s="63">
        <v>46112</v>
      </c>
      <c r="E19" s="47" t="s">
        <v>258</v>
      </c>
      <c r="F19" s="47" t="s">
        <v>21</v>
      </c>
      <c r="G19" s="59">
        <v>925190.62</v>
      </c>
      <c r="H19" s="59">
        <v>1</v>
      </c>
      <c r="I19" s="59"/>
      <c r="J19" s="59">
        <v>91420.12</v>
      </c>
      <c r="K19" s="59">
        <v>117026.27</v>
      </c>
      <c r="L19" s="59">
        <f t="shared" si="1"/>
        <v>873241.9</v>
      </c>
      <c r="M19" s="59">
        <v>158775.35999999999</v>
      </c>
      <c r="N19" s="59">
        <v>363932.94</v>
      </c>
      <c r="O19" s="59">
        <f t="shared" si="0"/>
        <v>363932.94</v>
      </c>
      <c r="P19" s="57" t="s">
        <v>259</v>
      </c>
      <c r="Q19" s="59">
        <v>714466.54</v>
      </c>
      <c r="R19" s="59">
        <v>402482.32</v>
      </c>
      <c r="S19" s="59">
        <v>285456.05</v>
      </c>
      <c r="T19" s="60">
        <v>0.3085</v>
      </c>
      <c r="U19" s="59">
        <v>285456.05</v>
      </c>
      <c r="V19" s="60">
        <v>0.3085</v>
      </c>
      <c r="W19" s="61">
        <v>7.0000000000000007E-2</v>
      </c>
    </row>
    <row r="20" spans="1:23" ht="12.6" hidden="1" customHeight="1" x14ac:dyDescent="0.25">
      <c r="A20" s="48">
        <v>13030</v>
      </c>
      <c r="B20" s="47" t="s">
        <v>74</v>
      </c>
      <c r="C20" s="47" t="s">
        <v>153</v>
      </c>
      <c r="D20" s="63">
        <v>46105</v>
      </c>
      <c r="E20" s="47" t="s">
        <v>260</v>
      </c>
      <c r="F20" s="47" t="s">
        <v>123</v>
      </c>
      <c r="G20" s="59">
        <v>893.1</v>
      </c>
      <c r="H20" s="59">
        <v>17.170000000000002</v>
      </c>
      <c r="I20" s="59">
        <f>+G20*H20</f>
        <v>15334.527000000002</v>
      </c>
      <c r="J20" s="59">
        <v>68.900000000000006</v>
      </c>
      <c r="K20" s="59">
        <v>113.56</v>
      </c>
      <c r="L20" s="59">
        <f t="shared" si="1"/>
        <v>0</v>
      </c>
      <c r="M20" s="59">
        <v>0</v>
      </c>
      <c r="N20" s="59">
        <v>618.83000000000004</v>
      </c>
      <c r="O20" s="59">
        <f t="shared" si="0"/>
        <v>10625.311100000003</v>
      </c>
      <c r="P20" s="59">
        <v>274.27</v>
      </c>
      <c r="Q20" s="59">
        <v>0</v>
      </c>
      <c r="R20" s="59">
        <v>274.27</v>
      </c>
      <c r="S20" s="59">
        <v>160.71</v>
      </c>
      <c r="T20" s="60">
        <v>0.1799</v>
      </c>
      <c r="U20" s="59">
        <v>160.71</v>
      </c>
      <c r="V20" s="60">
        <v>0.1799</v>
      </c>
      <c r="W20" s="61">
        <v>0</v>
      </c>
    </row>
    <row r="21" spans="1:23" hidden="1" x14ac:dyDescent="0.25">
      <c r="A21" s="48">
        <v>13019</v>
      </c>
      <c r="B21" s="47" t="s">
        <v>33</v>
      </c>
      <c r="C21" s="47" t="s">
        <v>261</v>
      </c>
      <c r="D21" s="63">
        <v>46104</v>
      </c>
      <c r="E21" s="47" t="s">
        <v>262</v>
      </c>
      <c r="F21" s="47" t="s">
        <v>21</v>
      </c>
      <c r="G21" s="59">
        <v>14989.13</v>
      </c>
      <c r="H21" s="59">
        <v>1</v>
      </c>
      <c r="I21" s="59"/>
      <c r="J21" s="59">
        <v>2563.1</v>
      </c>
      <c r="K21" s="59">
        <v>2598.79</v>
      </c>
      <c r="L21" s="59">
        <f t="shared" si="1"/>
        <v>9251.35</v>
      </c>
      <c r="M21" s="59">
        <v>5577.79</v>
      </c>
      <c r="N21" s="59">
        <v>2671.63</v>
      </c>
      <c r="O21" s="59">
        <f t="shared" si="0"/>
        <v>2671.63</v>
      </c>
      <c r="P21" s="59">
        <v>3066.15</v>
      </c>
      <c r="Q21" s="59">
        <v>3673.56</v>
      </c>
      <c r="R21" s="59">
        <v>6739.71</v>
      </c>
      <c r="S21" s="59">
        <v>4140.92</v>
      </c>
      <c r="T21" s="60">
        <v>0.27629999999999999</v>
      </c>
      <c r="U21" s="59">
        <v>4140.92</v>
      </c>
      <c r="V21" s="60">
        <v>0.27629999999999999</v>
      </c>
      <c r="W21" s="61">
        <v>0.35</v>
      </c>
    </row>
    <row r="22" spans="1:23" hidden="1" x14ac:dyDescent="0.25">
      <c r="A22" s="48">
        <v>13010</v>
      </c>
      <c r="B22" s="47" t="s">
        <v>33</v>
      </c>
      <c r="C22" s="47" t="s">
        <v>67</v>
      </c>
      <c r="D22" s="63">
        <v>46091</v>
      </c>
      <c r="E22" s="47" t="s">
        <v>263</v>
      </c>
      <c r="F22" s="47" t="s">
        <v>21</v>
      </c>
      <c r="G22" s="59">
        <v>3912.51</v>
      </c>
      <c r="H22" s="59">
        <v>1</v>
      </c>
      <c r="I22" s="59"/>
      <c r="J22" s="59">
        <v>574.76</v>
      </c>
      <c r="K22" s="59">
        <v>580.98</v>
      </c>
      <c r="L22" s="59">
        <f t="shared" si="1"/>
        <v>0</v>
      </c>
      <c r="M22" s="59">
        <v>0</v>
      </c>
      <c r="N22" s="59">
        <v>2699.4</v>
      </c>
      <c r="O22" s="59">
        <f t="shared" si="0"/>
        <v>2699.4</v>
      </c>
      <c r="P22" s="59">
        <v>1213.1099999999999</v>
      </c>
      <c r="Q22" s="59">
        <v>0</v>
      </c>
      <c r="R22" s="59">
        <v>1213.1099999999999</v>
      </c>
      <c r="S22" s="59">
        <v>632.13</v>
      </c>
      <c r="T22" s="60">
        <v>0.16159999999999999</v>
      </c>
      <c r="U22" s="59">
        <v>632.13</v>
      </c>
      <c r="V22" s="60">
        <v>0.16159999999999999</v>
      </c>
      <c r="W22" s="61">
        <v>0.56999999999999995</v>
      </c>
    </row>
    <row r="23" spans="1:23" hidden="1" x14ac:dyDescent="0.25">
      <c r="A23" s="48">
        <v>13004</v>
      </c>
      <c r="B23" s="47" t="s">
        <v>50</v>
      </c>
      <c r="C23" s="47" t="s">
        <v>51</v>
      </c>
      <c r="D23" s="63">
        <v>46091</v>
      </c>
      <c r="E23" s="47" t="s">
        <v>264</v>
      </c>
      <c r="F23" s="47" t="s">
        <v>21</v>
      </c>
      <c r="G23" s="59">
        <v>715.89</v>
      </c>
      <c r="H23" s="59">
        <v>1</v>
      </c>
      <c r="I23" s="59"/>
      <c r="J23" s="59">
        <v>304.74</v>
      </c>
      <c r="K23" s="59">
        <v>314.61</v>
      </c>
      <c r="L23" s="59">
        <f t="shared" si="1"/>
        <v>0</v>
      </c>
      <c r="M23" s="59">
        <v>0</v>
      </c>
      <c r="N23" s="59">
        <v>496.99</v>
      </c>
      <c r="O23" s="59">
        <f t="shared" si="0"/>
        <v>496.99</v>
      </c>
      <c r="P23" s="59">
        <v>218.9</v>
      </c>
      <c r="Q23" s="59">
        <v>0</v>
      </c>
      <c r="R23" s="59">
        <v>218.9</v>
      </c>
      <c r="S23" s="57" t="s">
        <v>265</v>
      </c>
      <c r="T23" s="57" t="s">
        <v>266</v>
      </c>
      <c r="U23" s="57" t="s">
        <v>265</v>
      </c>
      <c r="V23" s="57" t="s">
        <v>266</v>
      </c>
      <c r="W23" s="61">
        <v>0.7</v>
      </c>
    </row>
    <row r="24" spans="1:23" hidden="1" x14ac:dyDescent="0.25">
      <c r="A24" s="48">
        <v>12979</v>
      </c>
      <c r="B24" s="47" t="s">
        <v>33</v>
      </c>
      <c r="C24" s="47" t="s">
        <v>81</v>
      </c>
      <c r="D24" s="63">
        <v>46084</v>
      </c>
      <c r="E24" s="47" t="s">
        <v>267</v>
      </c>
      <c r="F24" s="47" t="s">
        <v>21</v>
      </c>
      <c r="G24" s="59">
        <v>9920.0300000000007</v>
      </c>
      <c r="H24" s="59">
        <v>1</v>
      </c>
      <c r="I24" s="59"/>
      <c r="J24" s="59">
        <v>1394.26</v>
      </c>
      <c r="K24" s="59">
        <v>1405.62</v>
      </c>
      <c r="L24" s="59">
        <f t="shared" si="1"/>
        <v>4625.68</v>
      </c>
      <c r="M24" s="59">
        <v>2099.6999999999998</v>
      </c>
      <c r="N24" s="59">
        <v>4059.06</v>
      </c>
      <c r="O24" s="59">
        <f t="shared" si="0"/>
        <v>4059.06</v>
      </c>
      <c r="P24" s="59">
        <v>1235.29</v>
      </c>
      <c r="Q24" s="59">
        <v>2525.98</v>
      </c>
      <c r="R24" s="59">
        <v>3760.24</v>
      </c>
      <c r="S24" s="59">
        <v>2354.62</v>
      </c>
      <c r="T24" s="60">
        <v>0.2374</v>
      </c>
      <c r="U24" s="59">
        <v>2354.62</v>
      </c>
      <c r="V24" s="60">
        <v>0.2374</v>
      </c>
      <c r="W24" s="61">
        <v>0.35</v>
      </c>
    </row>
    <row r="25" spans="1:23" hidden="1" x14ac:dyDescent="0.25">
      <c r="A25" s="48">
        <v>12959</v>
      </c>
      <c r="B25" s="47" t="s">
        <v>50</v>
      </c>
      <c r="C25" s="47" t="s">
        <v>153</v>
      </c>
      <c r="D25" s="63">
        <v>46111</v>
      </c>
      <c r="E25" s="47" t="s">
        <v>268</v>
      </c>
      <c r="F25" s="47" t="s">
        <v>123</v>
      </c>
      <c r="G25" s="59">
        <v>2595.71</v>
      </c>
      <c r="H25" s="59">
        <v>17.2</v>
      </c>
      <c r="I25" s="59">
        <f>+G25*H25</f>
        <v>44646.212</v>
      </c>
      <c r="J25" s="59">
        <v>274.10000000000002</v>
      </c>
      <c r="K25" s="59">
        <v>275.69</v>
      </c>
      <c r="L25" s="59">
        <f t="shared" si="1"/>
        <v>0</v>
      </c>
      <c r="M25" s="59">
        <v>0</v>
      </c>
      <c r="N25" s="59">
        <v>1632.24</v>
      </c>
      <c r="O25" s="59">
        <f t="shared" si="0"/>
        <v>28074.527999999998</v>
      </c>
      <c r="P25" s="59">
        <v>963.47</v>
      </c>
      <c r="Q25" s="59">
        <v>0</v>
      </c>
      <c r="R25" s="59">
        <v>963.37</v>
      </c>
      <c r="S25" s="59">
        <v>687.68</v>
      </c>
      <c r="T25" s="60">
        <v>0.26490000000000002</v>
      </c>
      <c r="U25" s="59">
        <v>687.68</v>
      </c>
      <c r="V25" s="60">
        <v>0.26490000000000002</v>
      </c>
      <c r="W25" s="61">
        <v>0.6</v>
      </c>
    </row>
    <row r="26" spans="1:23" hidden="1" x14ac:dyDescent="0.25">
      <c r="A26" s="48">
        <v>12956</v>
      </c>
      <c r="B26" s="47" t="s">
        <v>50</v>
      </c>
      <c r="C26" s="47" t="s">
        <v>153</v>
      </c>
      <c r="D26" s="63">
        <v>46099</v>
      </c>
      <c r="E26" s="47" t="s">
        <v>269</v>
      </c>
      <c r="F26" s="47" t="s">
        <v>123</v>
      </c>
      <c r="G26" s="59">
        <v>977.47</v>
      </c>
      <c r="H26" s="59">
        <v>17.23</v>
      </c>
      <c r="I26" s="59">
        <f>+G26*H26</f>
        <v>16841.808100000002</v>
      </c>
      <c r="J26" s="59">
        <v>112.26</v>
      </c>
      <c r="K26" s="59">
        <v>116.86</v>
      </c>
      <c r="L26" s="59">
        <f t="shared" si="1"/>
        <v>0</v>
      </c>
      <c r="M26" s="59">
        <v>0</v>
      </c>
      <c r="N26" s="59">
        <v>639.66</v>
      </c>
      <c r="O26" s="59">
        <f t="shared" si="0"/>
        <v>11021.3418</v>
      </c>
      <c r="P26" s="59">
        <v>337.81</v>
      </c>
      <c r="Q26" s="59">
        <v>0</v>
      </c>
      <c r="R26" s="59">
        <v>337.8</v>
      </c>
      <c r="S26" s="59">
        <v>220.94</v>
      </c>
      <c r="T26" s="60">
        <v>0.22600000000000001</v>
      </c>
      <c r="U26" s="59">
        <v>220.94</v>
      </c>
      <c r="V26" s="60">
        <v>0.22600000000000001</v>
      </c>
      <c r="W26" s="61">
        <v>0.6</v>
      </c>
    </row>
    <row r="27" spans="1:23" hidden="1" x14ac:dyDescent="0.25">
      <c r="A27" s="48">
        <v>12945</v>
      </c>
      <c r="B27" s="47" t="s">
        <v>33</v>
      </c>
      <c r="C27" s="47" t="s">
        <v>38</v>
      </c>
      <c r="D27" s="63">
        <v>46085</v>
      </c>
      <c r="E27" s="47" t="s">
        <v>270</v>
      </c>
      <c r="F27" s="47" t="s">
        <v>21</v>
      </c>
      <c r="G27" s="59">
        <v>14197.68</v>
      </c>
      <c r="H27" s="59">
        <v>1</v>
      </c>
      <c r="I27" s="59"/>
      <c r="J27" s="59">
        <v>1525.42</v>
      </c>
      <c r="K27" s="59">
        <v>1004.15</v>
      </c>
      <c r="L27" s="59">
        <f t="shared" si="1"/>
        <v>0</v>
      </c>
      <c r="M27" s="59">
        <v>0</v>
      </c>
      <c r="N27" s="59">
        <v>4647.33</v>
      </c>
      <c r="O27" s="59">
        <f t="shared" si="0"/>
        <v>4647.33</v>
      </c>
      <c r="P27" s="59">
        <v>9550.35</v>
      </c>
      <c r="Q27" s="59">
        <v>0</v>
      </c>
      <c r="R27" s="59">
        <v>9550.35</v>
      </c>
      <c r="S27" s="59">
        <v>8546.2000000000007</v>
      </c>
      <c r="T27" s="60">
        <v>0.70940000000000003</v>
      </c>
      <c r="U27" s="59">
        <v>8024.93</v>
      </c>
      <c r="V27" s="60">
        <v>0.56520000000000004</v>
      </c>
      <c r="W27" s="61">
        <v>0.64</v>
      </c>
    </row>
    <row r="28" spans="1:23" hidden="1" x14ac:dyDescent="0.25">
      <c r="A28" s="48">
        <v>12933</v>
      </c>
      <c r="B28" s="47" t="s">
        <v>50</v>
      </c>
      <c r="C28" s="47" t="s">
        <v>51</v>
      </c>
      <c r="D28" s="63">
        <v>46085</v>
      </c>
      <c r="E28" s="47" t="s">
        <v>271</v>
      </c>
      <c r="F28" s="47" t="s">
        <v>21</v>
      </c>
      <c r="G28" s="59">
        <v>11528.96</v>
      </c>
      <c r="H28" s="59">
        <v>1</v>
      </c>
      <c r="I28" s="59"/>
      <c r="J28" s="59">
        <v>1362.15</v>
      </c>
      <c r="K28" s="59">
        <v>859.36</v>
      </c>
      <c r="L28" s="59">
        <f t="shared" si="1"/>
        <v>9042.619999999999</v>
      </c>
      <c r="M28" s="59">
        <v>1717.76</v>
      </c>
      <c r="N28" s="59">
        <v>1553.96</v>
      </c>
      <c r="O28" s="59">
        <f t="shared" si="0"/>
        <v>1553.96</v>
      </c>
      <c r="P28" s="59">
        <v>932.38</v>
      </c>
      <c r="Q28" s="59">
        <v>7324.86</v>
      </c>
      <c r="R28" s="59">
        <v>8257.24</v>
      </c>
      <c r="S28" s="59">
        <v>7397.88</v>
      </c>
      <c r="T28" s="60">
        <v>0.75980000000000003</v>
      </c>
      <c r="U28" s="59">
        <v>6895.09</v>
      </c>
      <c r="V28" s="60">
        <v>0.59809999999999997</v>
      </c>
      <c r="W28" s="61">
        <v>0.6</v>
      </c>
    </row>
    <row r="29" spans="1:23" x14ac:dyDescent="0.25">
      <c r="A29" s="48">
        <v>12928</v>
      </c>
      <c r="B29" s="47" t="s">
        <v>24</v>
      </c>
      <c r="C29" s="47" t="s">
        <v>59</v>
      </c>
      <c r="D29" s="63">
        <v>46111</v>
      </c>
      <c r="E29" s="47" t="s">
        <v>272</v>
      </c>
      <c r="F29" s="47" t="s">
        <v>21</v>
      </c>
      <c r="G29" s="59">
        <v>19710</v>
      </c>
      <c r="H29" s="59">
        <v>1</v>
      </c>
      <c r="I29" s="59"/>
      <c r="J29" s="59">
        <v>2917.6</v>
      </c>
      <c r="K29" s="59">
        <v>4391.8599999999997</v>
      </c>
      <c r="L29" s="59">
        <f t="shared" si="1"/>
        <v>0</v>
      </c>
      <c r="M29" s="59">
        <v>0</v>
      </c>
      <c r="N29" s="59">
        <v>21799.26</v>
      </c>
      <c r="O29" s="59">
        <f t="shared" si="0"/>
        <v>21799.26</v>
      </c>
      <c r="P29" s="57" t="s">
        <v>175</v>
      </c>
      <c r="Q29" s="59">
        <v>0</v>
      </c>
      <c r="R29" s="57" t="s">
        <v>175</v>
      </c>
      <c r="S29" s="57" t="s">
        <v>176</v>
      </c>
      <c r="T29" s="57" t="s">
        <v>177</v>
      </c>
      <c r="U29" s="57" t="s">
        <v>176</v>
      </c>
      <c r="V29" s="57" t="s">
        <v>177</v>
      </c>
      <c r="W29" s="61">
        <v>0.4</v>
      </c>
    </row>
    <row r="30" spans="1:23" hidden="1" x14ac:dyDescent="0.25">
      <c r="A30" s="48">
        <v>12920</v>
      </c>
      <c r="B30" s="47" t="s">
        <v>50</v>
      </c>
      <c r="C30" s="47" t="s">
        <v>51</v>
      </c>
      <c r="D30" s="63">
        <v>46108</v>
      </c>
      <c r="E30" s="47" t="s">
        <v>273</v>
      </c>
      <c r="F30" s="47" t="s">
        <v>21</v>
      </c>
      <c r="G30" s="59">
        <v>12342.18</v>
      </c>
      <c r="H30" s="59">
        <v>1</v>
      </c>
      <c r="I30" s="59"/>
      <c r="J30" s="59">
        <v>1186.4000000000001</v>
      </c>
      <c r="K30" s="59">
        <v>1064.01</v>
      </c>
      <c r="L30" s="59">
        <f t="shared" si="1"/>
        <v>9980.880000000001</v>
      </c>
      <c r="M30" s="59">
        <v>3426.53</v>
      </c>
      <c r="N30" s="59">
        <v>590.29999999999995</v>
      </c>
      <c r="O30" s="59">
        <f t="shared" si="0"/>
        <v>590.29999999999995</v>
      </c>
      <c r="P30" s="59">
        <v>1771</v>
      </c>
      <c r="Q30" s="59">
        <v>6554.35</v>
      </c>
      <c r="R30" s="59">
        <v>8325.35</v>
      </c>
      <c r="S30" s="59">
        <v>7261.34</v>
      </c>
      <c r="T30" s="60">
        <v>0.6845</v>
      </c>
      <c r="U30" s="59">
        <v>7138.95</v>
      </c>
      <c r="V30" s="60">
        <v>0.57840000000000003</v>
      </c>
      <c r="W30" s="61">
        <v>0.6</v>
      </c>
    </row>
    <row r="31" spans="1:23" hidden="1" x14ac:dyDescent="0.25">
      <c r="A31" s="48">
        <v>12914</v>
      </c>
      <c r="B31" s="47" t="s">
        <v>50</v>
      </c>
      <c r="C31" s="47" t="s">
        <v>274</v>
      </c>
      <c r="D31" s="63">
        <v>46112</v>
      </c>
      <c r="E31" s="47" t="s">
        <v>275</v>
      </c>
      <c r="F31" s="47" t="s">
        <v>21</v>
      </c>
      <c r="G31" s="59">
        <v>21161.42</v>
      </c>
      <c r="H31" s="59">
        <v>1</v>
      </c>
      <c r="I31" s="59"/>
      <c r="J31" s="59">
        <v>3035.32</v>
      </c>
      <c r="K31" s="59">
        <v>4752.12</v>
      </c>
      <c r="L31" s="59">
        <f>+M31-8058.02</f>
        <v>6330.869999999999</v>
      </c>
      <c r="M31" s="59">
        <v>14388.89</v>
      </c>
      <c r="N31" s="59">
        <v>9252.7800000000007</v>
      </c>
      <c r="O31" s="59">
        <f t="shared" si="0"/>
        <v>9252.7800000000007</v>
      </c>
      <c r="P31" s="59">
        <v>5577.77</v>
      </c>
      <c r="Q31" s="57" t="s">
        <v>276</v>
      </c>
      <c r="R31" s="57" t="s">
        <v>277</v>
      </c>
      <c r="S31" s="57" t="s">
        <v>278</v>
      </c>
      <c r="T31" s="57" t="s">
        <v>279</v>
      </c>
      <c r="U31" s="57" t="s">
        <v>278</v>
      </c>
      <c r="V31" s="57" t="s">
        <v>279</v>
      </c>
      <c r="W31" s="61">
        <v>0.25</v>
      </c>
    </row>
    <row r="32" spans="1:23" x14ac:dyDescent="0.25">
      <c r="A32" s="48">
        <v>12871</v>
      </c>
      <c r="B32" s="47" t="s">
        <v>24</v>
      </c>
      <c r="C32" s="47" t="s">
        <v>59</v>
      </c>
      <c r="D32" s="63">
        <v>46111</v>
      </c>
      <c r="E32" s="47" t="s">
        <v>280</v>
      </c>
      <c r="F32" s="47" t="s">
        <v>21</v>
      </c>
      <c r="G32" s="59">
        <v>250475.46</v>
      </c>
      <c r="H32" s="59">
        <v>1</v>
      </c>
      <c r="I32" s="59"/>
      <c r="J32" s="59">
        <v>24171.83</v>
      </c>
      <c r="K32" s="59">
        <v>31738.69</v>
      </c>
      <c r="L32" s="59">
        <f t="shared" si="1"/>
        <v>0</v>
      </c>
      <c r="M32" s="59">
        <v>0</v>
      </c>
      <c r="N32" s="59">
        <v>166970.49</v>
      </c>
      <c r="O32" s="59">
        <f t="shared" si="0"/>
        <v>166970.49</v>
      </c>
      <c r="P32" s="59">
        <v>83504.97</v>
      </c>
      <c r="Q32" s="59">
        <v>0</v>
      </c>
      <c r="R32" s="59">
        <v>83504.97</v>
      </c>
      <c r="S32" s="59">
        <v>51766.28</v>
      </c>
      <c r="T32" s="60">
        <v>0.20669999999999999</v>
      </c>
      <c r="U32" s="59">
        <v>51766.28</v>
      </c>
      <c r="V32" s="60">
        <v>0.20669999999999999</v>
      </c>
      <c r="W32" s="61">
        <v>0.97</v>
      </c>
    </row>
    <row r="33" spans="1:23" hidden="1" x14ac:dyDescent="0.25">
      <c r="A33" s="48">
        <v>12854</v>
      </c>
      <c r="B33" s="47" t="s">
        <v>50</v>
      </c>
      <c r="C33" s="47" t="s">
        <v>153</v>
      </c>
      <c r="D33" s="63">
        <v>46100</v>
      </c>
      <c r="E33" s="47" t="s">
        <v>281</v>
      </c>
      <c r="F33" s="47" t="s">
        <v>123</v>
      </c>
      <c r="G33" s="59">
        <v>506.97</v>
      </c>
      <c r="H33" s="59">
        <v>17.600000000000001</v>
      </c>
      <c r="I33" s="59">
        <f>+G33*H33</f>
        <v>8922.6720000000005</v>
      </c>
      <c r="J33" s="59">
        <v>64.91</v>
      </c>
      <c r="K33" s="59">
        <v>66.510000000000005</v>
      </c>
      <c r="L33" s="59">
        <f t="shared" si="1"/>
        <v>0</v>
      </c>
      <c r="M33" s="59">
        <v>0</v>
      </c>
      <c r="N33" s="59">
        <v>326.88</v>
      </c>
      <c r="O33" s="59">
        <f t="shared" si="0"/>
        <v>5753.0880000000006</v>
      </c>
      <c r="P33" s="59">
        <v>180.09</v>
      </c>
      <c r="Q33" s="59">
        <v>0</v>
      </c>
      <c r="R33" s="59">
        <v>180.09</v>
      </c>
      <c r="S33" s="59">
        <v>113.58</v>
      </c>
      <c r="T33" s="60">
        <v>0.224</v>
      </c>
      <c r="U33" s="59">
        <v>113.58</v>
      </c>
      <c r="V33" s="60">
        <v>0.224</v>
      </c>
      <c r="W33" s="61">
        <v>0.6</v>
      </c>
    </row>
    <row r="34" spans="1:23" x14ac:dyDescent="0.25">
      <c r="A34" s="48">
        <v>12830</v>
      </c>
      <c r="B34" s="47" t="s">
        <v>24</v>
      </c>
      <c r="C34" s="47" t="s">
        <v>59</v>
      </c>
      <c r="D34" s="63">
        <v>46091</v>
      </c>
      <c r="E34" s="47" t="s">
        <v>282</v>
      </c>
      <c r="F34" s="47" t="s">
        <v>21</v>
      </c>
      <c r="G34" s="59">
        <v>67104.12</v>
      </c>
      <c r="H34" s="59">
        <v>1</v>
      </c>
      <c r="I34" s="59"/>
      <c r="J34" s="59">
        <v>6624.9</v>
      </c>
      <c r="K34" s="59">
        <v>6654.98</v>
      </c>
      <c r="L34" s="59">
        <f t="shared" si="1"/>
        <v>0</v>
      </c>
      <c r="M34" s="59">
        <v>0</v>
      </c>
      <c r="N34" s="59">
        <v>33710.39</v>
      </c>
      <c r="O34" s="59">
        <f t="shared" si="0"/>
        <v>33710.39</v>
      </c>
      <c r="P34" s="59">
        <v>33393.730000000003</v>
      </c>
      <c r="Q34" s="59">
        <v>0</v>
      </c>
      <c r="R34" s="59">
        <v>30740.27</v>
      </c>
      <c r="S34" s="59">
        <v>24085.29</v>
      </c>
      <c r="T34" s="60">
        <v>0.3589</v>
      </c>
      <c r="U34" s="59">
        <v>24085.29</v>
      </c>
      <c r="V34" s="60">
        <v>0.3589</v>
      </c>
      <c r="W34" s="61">
        <v>0</v>
      </c>
    </row>
    <row r="35" spans="1:23" hidden="1" x14ac:dyDescent="0.25">
      <c r="A35" s="48">
        <v>12816</v>
      </c>
      <c r="B35" s="47" t="s">
        <v>50</v>
      </c>
      <c r="C35" s="47" t="s">
        <v>51</v>
      </c>
      <c r="D35" s="63">
        <v>46087</v>
      </c>
      <c r="E35" s="47" t="s">
        <v>283</v>
      </c>
      <c r="F35" s="47" t="s">
        <v>21</v>
      </c>
      <c r="G35" s="59">
        <v>871.97</v>
      </c>
      <c r="H35" s="59">
        <v>1</v>
      </c>
      <c r="I35" s="59"/>
      <c r="J35" s="59">
        <v>166.88</v>
      </c>
      <c r="K35" s="59">
        <v>167.21</v>
      </c>
      <c r="L35" s="59">
        <f t="shared" si="1"/>
        <v>0</v>
      </c>
      <c r="M35" s="59">
        <v>0</v>
      </c>
      <c r="N35" s="59">
        <v>573.79</v>
      </c>
      <c r="O35" s="59">
        <f t="shared" si="0"/>
        <v>573.79</v>
      </c>
      <c r="P35" s="59">
        <v>298.18</v>
      </c>
      <c r="Q35" s="59">
        <v>0</v>
      </c>
      <c r="R35" s="59">
        <v>298.18</v>
      </c>
      <c r="S35" s="59">
        <v>130.97</v>
      </c>
      <c r="T35" s="60">
        <v>0.1502</v>
      </c>
      <c r="U35" s="59">
        <v>130.97</v>
      </c>
      <c r="V35" s="60">
        <v>0.1502</v>
      </c>
      <c r="W35" s="61">
        <v>0.55000000000000004</v>
      </c>
    </row>
    <row r="36" spans="1:23" hidden="1" x14ac:dyDescent="0.25">
      <c r="A36" s="48">
        <v>12815</v>
      </c>
      <c r="B36" s="47" t="s">
        <v>50</v>
      </c>
      <c r="C36" s="47" t="s">
        <v>51</v>
      </c>
      <c r="D36" s="63">
        <v>46087</v>
      </c>
      <c r="E36" s="47" t="s">
        <v>284</v>
      </c>
      <c r="F36" s="47" t="s">
        <v>21</v>
      </c>
      <c r="G36" s="59">
        <v>23895.96</v>
      </c>
      <c r="H36" s="59">
        <v>1</v>
      </c>
      <c r="I36" s="59"/>
      <c r="J36" s="59">
        <v>2962.49</v>
      </c>
      <c r="K36" s="59">
        <v>2802.72</v>
      </c>
      <c r="L36" s="59">
        <f t="shared" si="1"/>
        <v>12441.14</v>
      </c>
      <c r="M36" s="59">
        <v>6386.79</v>
      </c>
      <c r="N36" s="59">
        <v>7571.82</v>
      </c>
      <c r="O36" s="59">
        <f t="shared" si="0"/>
        <v>7571.82</v>
      </c>
      <c r="P36" s="59">
        <v>3883</v>
      </c>
      <c r="Q36" s="59">
        <v>6054.35</v>
      </c>
      <c r="R36" s="59">
        <v>9937.35</v>
      </c>
      <c r="S36" s="59">
        <v>7134.63</v>
      </c>
      <c r="T36" s="60">
        <v>0.42249999999999999</v>
      </c>
      <c r="U36" s="59">
        <v>6974.86</v>
      </c>
      <c r="V36" s="60">
        <v>0.29189999999999999</v>
      </c>
      <c r="W36" s="61">
        <v>0.3</v>
      </c>
    </row>
    <row r="37" spans="1:23" hidden="1" x14ac:dyDescent="0.25">
      <c r="A37" s="48">
        <v>12785</v>
      </c>
      <c r="B37" s="47" t="s">
        <v>18</v>
      </c>
      <c r="C37" s="47" t="s">
        <v>117</v>
      </c>
      <c r="D37" s="63">
        <v>46112</v>
      </c>
      <c r="E37" s="47" t="s">
        <v>285</v>
      </c>
      <c r="F37" s="47" t="s">
        <v>21</v>
      </c>
      <c r="G37" s="59">
        <v>106943.39</v>
      </c>
      <c r="H37" s="59">
        <v>1</v>
      </c>
      <c r="I37" s="59"/>
      <c r="J37" s="59">
        <v>11858.21</v>
      </c>
      <c r="K37" s="59">
        <v>9627.6200000000008</v>
      </c>
      <c r="L37" s="59">
        <f t="shared" si="1"/>
        <v>48734.2</v>
      </c>
      <c r="M37" s="59">
        <v>20884.75</v>
      </c>
      <c r="N37" s="59">
        <v>31198.82</v>
      </c>
      <c r="O37" s="59">
        <f t="shared" si="0"/>
        <v>31198.82</v>
      </c>
      <c r="P37" s="59">
        <v>27010.37</v>
      </c>
      <c r="Q37" s="59">
        <v>27849.45</v>
      </c>
      <c r="R37" s="59">
        <v>54858.06</v>
      </c>
      <c r="S37" s="59">
        <v>45230.44</v>
      </c>
      <c r="T37" s="60">
        <v>0.53380000000000005</v>
      </c>
      <c r="U37" s="59">
        <v>42999.85</v>
      </c>
      <c r="V37" s="60">
        <v>0.40210000000000001</v>
      </c>
      <c r="W37" s="61">
        <v>0.5</v>
      </c>
    </row>
    <row r="38" spans="1:23" hidden="1" x14ac:dyDescent="0.25">
      <c r="A38" s="48">
        <v>12536</v>
      </c>
      <c r="B38" s="47" t="s">
        <v>33</v>
      </c>
      <c r="C38" s="47" t="s">
        <v>67</v>
      </c>
      <c r="D38" s="63">
        <v>46092</v>
      </c>
      <c r="E38" s="47" t="s">
        <v>286</v>
      </c>
      <c r="F38" s="47" t="s">
        <v>21</v>
      </c>
      <c r="G38" s="59">
        <v>168254.39</v>
      </c>
      <c r="H38" s="59">
        <v>1</v>
      </c>
      <c r="I38" s="59"/>
      <c r="J38" s="59">
        <v>17956.189999999999</v>
      </c>
      <c r="K38" s="59">
        <v>23355.31</v>
      </c>
      <c r="L38" s="59">
        <f t="shared" si="1"/>
        <v>40529.199999999997</v>
      </c>
      <c r="M38" s="59">
        <v>27742.04</v>
      </c>
      <c r="N38" s="59">
        <v>119705.77</v>
      </c>
      <c r="O38" s="59">
        <f t="shared" si="0"/>
        <v>119705.77</v>
      </c>
      <c r="P38" s="59">
        <v>8019.42</v>
      </c>
      <c r="Q38" s="59">
        <v>12787.16</v>
      </c>
      <c r="R38" s="59">
        <v>19812.27</v>
      </c>
      <c r="S38" s="57" t="s">
        <v>287</v>
      </c>
      <c r="T38" s="57" t="s">
        <v>288</v>
      </c>
      <c r="U38" s="57" t="s">
        <v>287</v>
      </c>
      <c r="V38" s="57" t="s">
        <v>288</v>
      </c>
      <c r="W38" s="61">
        <v>0.42</v>
      </c>
    </row>
    <row r="39" spans="1:23" hidden="1" x14ac:dyDescent="0.25">
      <c r="A39" s="48">
        <v>12435</v>
      </c>
      <c r="B39" s="47" t="s">
        <v>50</v>
      </c>
      <c r="C39" s="47" t="s">
        <v>153</v>
      </c>
      <c r="D39" s="63">
        <v>46112</v>
      </c>
      <c r="E39" s="47" t="s">
        <v>289</v>
      </c>
      <c r="F39" s="47" t="s">
        <v>123</v>
      </c>
      <c r="G39" s="59">
        <v>3109.15</v>
      </c>
      <c r="H39" s="59">
        <v>18.350000000000001</v>
      </c>
      <c r="I39" s="59">
        <f>+G39*H39</f>
        <v>57052.902500000004</v>
      </c>
      <c r="J39" s="59">
        <v>366.51</v>
      </c>
      <c r="K39" s="59">
        <v>315.3</v>
      </c>
      <c r="L39" s="59">
        <f t="shared" si="1"/>
        <v>1212.74</v>
      </c>
      <c r="M39" s="59">
        <v>575.62</v>
      </c>
      <c r="N39" s="59">
        <v>1129.9100000000001</v>
      </c>
      <c r="O39" s="59">
        <f t="shared" si="0"/>
        <v>20733.848500000004</v>
      </c>
      <c r="P39" s="59">
        <v>766.5</v>
      </c>
      <c r="Q39" s="59">
        <v>637.12</v>
      </c>
      <c r="R39" s="59">
        <v>1403.57</v>
      </c>
      <c r="S39" s="59">
        <v>1088.27</v>
      </c>
      <c r="T39" s="60">
        <v>0.46789999999999998</v>
      </c>
      <c r="U39" s="59">
        <v>1037.06</v>
      </c>
      <c r="V39" s="60">
        <v>0.33360000000000001</v>
      </c>
      <c r="W39" s="61">
        <v>0.3</v>
      </c>
    </row>
    <row r="40" spans="1:23" x14ac:dyDescent="0.25">
      <c r="A40" s="48">
        <v>12211</v>
      </c>
      <c r="B40" s="47" t="s">
        <v>24</v>
      </c>
      <c r="C40" s="47" t="s">
        <v>59</v>
      </c>
      <c r="D40" s="63">
        <v>46112</v>
      </c>
      <c r="E40" s="47" t="s">
        <v>290</v>
      </c>
      <c r="F40" s="47" t="s">
        <v>21</v>
      </c>
      <c r="G40" s="59">
        <v>114895.94</v>
      </c>
      <c r="H40" s="59">
        <v>1</v>
      </c>
      <c r="I40" s="59"/>
      <c r="J40" s="59">
        <v>10066.790000000001</v>
      </c>
      <c r="K40" s="59">
        <v>11357.01</v>
      </c>
      <c r="L40" s="59">
        <f t="shared" si="1"/>
        <v>38378.509999999995</v>
      </c>
      <c r="M40" s="59">
        <v>8065.66</v>
      </c>
      <c r="N40" s="59">
        <v>39059.24</v>
      </c>
      <c r="O40" s="59">
        <f t="shared" si="0"/>
        <v>39059.24</v>
      </c>
      <c r="P40" s="59">
        <v>37458.19</v>
      </c>
      <c r="Q40" s="59">
        <v>30312.85</v>
      </c>
      <c r="R40" s="59">
        <v>67771.039999999994</v>
      </c>
      <c r="S40" s="59">
        <v>56414.03</v>
      </c>
      <c r="T40" s="60">
        <v>0.49099999999999999</v>
      </c>
      <c r="U40" s="59">
        <v>56414.03</v>
      </c>
      <c r="V40" s="60">
        <v>0.49099999999999999</v>
      </c>
      <c r="W40" s="61">
        <v>0</v>
      </c>
    </row>
    <row r="41" spans="1:23" hidden="1" x14ac:dyDescent="0.25">
      <c r="A41" s="48">
        <v>11566</v>
      </c>
      <c r="B41" s="47" t="s">
        <v>50</v>
      </c>
      <c r="C41" s="47" t="s">
        <v>51</v>
      </c>
      <c r="D41" s="63">
        <v>46098</v>
      </c>
      <c r="E41" s="47" t="s">
        <v>291</v>
      </c>
      <c r="F41" s="47" t="s">
        <v>21</v>
      </c>
      <c r="G41" s="59">
        <v>303835.55</v>
      </c>
      <c r="H41" s="59">
        <v>1</v>
      </c>
      <c r="I41" s="59"/>
      <c r="J41" s="59">
        <v>36834.019999999997</v>
      </c>
      <c r="K41" s="59">
        <v>34401.160000000003</v>
      </c>
      <c r="L41" s="59">
        <f>+M41-2652.9</f>
        <v>38854.720000000001</v>
      </c>
      <c r="M41" s="59">
        <v>41507.620000000003</v>
      </c>
      <c r="N41" s="59">
        <v>158966.01</v>
      </c>
      <c r="O41" s="59">
        <f t="shared" si="0"/>
        <v>158966.01</v>
      </c>
      <c r="P41" s="59">
        <v>106014.82</v>
      </c>
      <c r="Q41" s="57" t="s">
        <v>292</v>
      </c>
      <c r="R41" s="59">
        <v>101247.16</v>
      </c>
      <c r="S41" s="59">
        <v>66846</v>
      </c>
      <c r="T41" s="60">
        <v>0.3412</v>
      </c>
      <c r="U41" s="59">
        <v>64413.14</v>
      </c>
      <c r="V41" s="60">
        <v>0.21199999999999999</v>
      </c>
      <c r="W41" s="61">
        <v>0.32</v>
      </c>
    </row>
    <row r="42" spans="1:23" hidden="1" x14ac:dyDescent="0.25">
      <c r="A42" s="48">
        <v>11549</v>
      </c>
      <c r="B42" s="47" t="s">
        <v>18</v>
      </c>
      <c r="C42" s="47" t="s">
        <v>101</v>
      </c>
      <c r="D42" s="63">
        <v>46112</v>
      </c>
      <c r="E42" s="47" t="s">
        <v>293</v>
      </c>
      <c r="F42" s="47" t="s">
        <v>123</v>
      </c>
      <c r="G42" s="59">
        <v>33540.160000000003</v>
      </c>
      <c r="H42" s="59">
        <v>20.34</v>
      </c>
      <c r="I42" s="59">
        <f>+G42*H42</f>
        <v>682206.85440000007</v>
      </c>
      <c r="J42" s="59">
        <v>3545.68</v>
      </c>
      <c r="K42" s="59">
        <v>3697.74</v>
      </c>
      <c r="L42" s="59">
        <f t="shared" si="1"/>
        <v>6077.96</v>
      </c>
      <c r="M42" s="59">
        <v>2005.71</v>
      </c>
      <c r="N42" s="59">
        <v>20401.57</v>
      </c>
      <c r="O42" s="59">
        <f t="shared" si="0"/>
        <v>414967.9338</v>
      </c>
      <c r="P42" s="59">
        <v>7060.63</v>
      </c>
      <c r="Q42" s="59">
        <v>4072.25</v>
      </c>
      <c r="R42" s="59">
        <v>11126.26</v>
      </c>
      <c r="S42" s="59">
        <v>7428.52</v>
      </c>
      <c r="T42" s="60">
        <v>0.2215</v>
      </c>
      <c r="U42" s="59">
        <v>7428.52</v>
      </c>
      <c r="V42" s="60">
        <v>0.2215</v>
      </c>
      <c r="W42" s="61">
        <v>0.56999999999999995</v>
      </c>
    </row>
    <row r="43" spans="1:23" hidden="1" x14ac:dyDescent="0.25">
      <c r="H43" s="62" t="s">
        <v>416</v>
      </c>
      <c r="I43" s="174">
        <v>127463.59460000001</v>
      </c>
      <c r="O43" s="175">
        <f>SUM(O2:O42)</f>
        <v>1609303.0711999999</v>
      </c>
    </row>
    <row r="44" spans="1:23" hidden="1" x14ac:dyDescent="0.25">
      <c r="H44" s="62" t="s">
        <v>417</v>
      </c>
      <c r="I44" s="174">
        <v>682206.85440000007</v>
      </c>
      <c r="L44" s="62">
        <f>SUBTOTAL(9,L2:L43)</f>
        <v>1000354.42</v>
      </c>
      <c r="N44" s="152">
        <v>1117821.47</v>
      </c>
      <c r="O44" s="152"/>
      <c r="P44" s="62">
        <f>SUBTOTAL(9,P2:P42)</f>
        <v>166294.21000000002</v>
      </c>
    </row>
    <row r="45" spans="1:23" hidden="1" x14ac:dyDescent="0.25">
      <c r="H45" s="62" t="s">
        <v>418</v>
      </c>
      <c r="I45" s="174">
        <v>15334.527000000002</v>
      </c>
      <c r="N45" s="152">
        <v>24749.09</v>
      </c>
      <c r="O45" s="152"/>
    </row>
    <row r="46" spans="1:23" hidden="1" x14ac:dyDescent="0.25">
      <c r="N46" s="152">
        <f>+N44+N45*C47</f>
        <v>1557303.4356749998</v>
      </c>
      <c r="O46" s="152"/>
    </row>
    <row r="47" spans="1:23" hidden="1" x14ac:dyDescent="0.25">
      <c r="C47" s="43">
        <v>17.7575</v>
      </c>
      <c r="D47" s="64" t="s">
        <v>228</v>
      </c>
      <c r="E47" s="44" t="s">
        <v>123</v>
      </c>
    </row>
    <row r="48" spans="1:23" hidden="1" x14ac:dyDescent="0.25">
      <c r="C48" s="30" t="s">
        <v>229</v>
      </c>
      <c r="D48" s="65">
        <v>1215584.9099999999</v>
      </c>
      <c r="E48" s="56">
        <v>7290.7</v>
      </c>
    </row>
    <row r="49" spans="3:7" hidden="1" x14ac:dyDescent="0.25">
      <c r="C49" s="30" t="s">
        <v>230</v>
      </c>
      <c r="D49" s="65">
        <v>425701.43</v>
      </c>
      <c r="E49" s="56">
        <v>9582.77</v>
      </c>
    </row>
    <row r="50" spans="3:7" hidden="1" x14ac:dyDescent="0.25">
      <c r="C50" s="30"/>
      <c r="D50" s="66">
        <f>+D49+D48</f>
        <v>1641286.3399999999</v>
      </c>
      <c r="E50" s="34">
        <f>+(E48+E49)*C47</f>
        <v>299630.64352500002</v>
      </c>
    </row>
    <row r="51" spans="3:7" hidden="1" x14ac:dyDescent="0.25">
      <c r="C51" s="35" t="s">
        <v>225</v>
      </c>
      <c r="D51" s="67">
        <f>+D50+E50</f>
        <v>1940916.9835249998</v>
      </c>
      <c r="E51" s="37"/>
    </row>
    <row r="52" spans="3:7" hidden="1" x14ac:dyDescent="0.25">
      <c r="C52" s="30" t="s">
        <v>231</v>
      </c>
      <c r="D52" s="66">
        <v>1350532.5200000003</v>
      </c>
      <c r="E52" s="37"/>
    </row>
    <row r="53" spans="3:7" hidden="1" x14ac:dyDescent="0.25">
      <c r="C53" s="38" t="s">
        <v>232</v>
      </c>
      <c r="D53" s="68">
        <f>+D51-D52</f>
        <v>590384.46352499956</v>
      </c>
      <c r="E53" s="40"/>
    </row>
    <row r="54" spans="3:7" x14ac:dyDescent="0.25">
      <c r="G54" s="62">
        <f>SUBTOTAL(9,G2:G53)</f>
        <v>1510851.5099999998</v>
      </c>
    </row>
    <row r="56" spans="3:7" x14ac:dyDescent="0.25">
      <c r="G56" s="62">
        <f>+G42*17.7575</f>
        <v>595589.39120000007</v>
      </c>
    </row>
    <row r="57" spans="3:7" x14ac:dyDescent="0.25">
      <c r="G57" s="175">
        <f>+I42-G56</f>
        <v>86617.463199999998</v>
      </c>
    </row>
  </sheetData>
  <autoFilter ref="A1:W53" xr:uid="{946D3582-35B2-4D68-AB00-15523357D03B}">
    <filterColumn colId="1">
      <filters>
        <filter val="RAMIRO LE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736E-F6E0-4C48-8130-B913389D3D63}">
  <sheetPr filterMode="1"/>
  <dimension ref="A1:W70"/>
  <sheetViews>
    <sheetView zoomScale="82" zoomScaleNormal="82" workbookViewId="0">
      <selection activeCell="H46" sqref="H46"/>
    </sheetView>
  </sheetViews>
  <sheetFormatPr baseColWidth="10" defaultRowHeight="13.8" x14ac:dyDescent="0.25"/>
  <cols>
    <col min="1" max="1" width="11.5546875" style="103"/>
    <col min="2" max="2" width="19" style="100" customWidth="1"/>
    <col min="3" max="3" width="18.5546875" style="100" customWidth="1"/>
    <col min="4" max="4" width="13.77734375" style="103" customWidth="1"/>
    <col min="5" max="5" width="22.77734375" style="100" customWidth="1"/>
    <col min="6" max="6" width="15.33203125" style="100" customWidth="1"/>
    <col min="7" max="7" width="12.77734375" style="103" customWidth="1"/>
    <col min="8" max="9" width="17.33203125" style="106" customWidth="1"/>
    <col min="10" max="10" width="14.88671875" style="106" customWidth="1"/>
    <col min="11" max="11" width="13" style="106" customWidth="1"/>
    <col min="12" max="12" width="16" style="106" customWidth="1"/>
    <col min="13" max="13" width="15.88671875" style="106" customWidth="1"/>
    <col min="14" max="15" width="16.33203125" style="106" customWidth="1"/>
    <col min="16" max="19" width="13" style="106" customWidth="1"/>
    <col min="20" max="20" width="13" style="103" customWidth="1"/>
    <col min="21" max="21" width="13" style="106" customWidth="1"/>
    <col min="22" max="23" width="13" style="103" customWidth="1"/>
    <col min="24" max="16384" width="11.5546875" style="100"/>
  </cols>
  <sheetData>
    <row r="1" spans="1:23" ht="19.2" customHeight="1" x14ac:dyDescent="0.25">
      <c r="A1" s="109" t="s">
        <v>0</v>
      </c>
      <c r="B1" s="109" t="s">
        <v>1</v>
      </c>
      <c r="C1" s="109" t="s">
        <v>2</v>
      </c>
      <c r="D1" s="110" t="s">
        <v>3</v>
      </c>
      <c r="E1" s="109" t="s">
        <v>4</v>
      </c>
      <c r="F1" s="109" t="s">
        <v>5</v>
      </c>
      <c r="G1" s="110" t="s">
        <v>301</v>
      </c>
      <c r="H1" s="109" t="s">
        <v>6</v>
      </c>
      <c r="I1" s="109"/>
      <c r="J1" s="109" t="s">
        <v>7</v>
      </c>
      <c r="K1" s="109" t="s">
        <v>8</v>
      </c>
      <c r="L1" s="140" t="s">
        <v>229</v>
      </c>
      <c r="M1" s="143" t="s">
        <v>9</v>
      </c>
      <c r="N1" s="143" t="s">
        <v>10</v>
      </c>
      <c r="O1" s="143"/>
      <c r="P1" s="109" t="s">
        <v>11</v>
      </c>
      <c r="Q1" s="109" t="s">
        <v>12</v>
      </c>
      <c r="R1" s="109" t="s">
        <v>13</v>
      </c>
      <c r="S1" s="109" t="s">
        <v>235</v>
      </c>
      <c r="T1" s="109" t="s">
        <v>15</v>
      </c>
      <c r="U1" s="109" t="s">
        <v>16</v>
      </c>
      <c r="V1" s="109" t="s">
        <v>17</v>
      </c>
      <c r="W1" s="109" t="s">
        <v>143</v>
      </c>
    </row>
    <row r="2" spans="1:23" hidden="1" x14ac:dyDescent="0.25">
      <c r="A2" s="102">
        <v>13273</v>
      </c>
      <c r="B2" s="101" t="s">
        <v>24</v>
      </c>
      <c r="C2" s="101" t="s">
        <v>135</v>
      </c>
      <c r="D2" s="141">
        <v>46142</v>
      </c>
      <c r="E2" s="101" t="s">
        <v>302</v>
      </c>
      <c r="F2" s="101" t="s">
        <v>21</v>
      </c>
      <c r="G2" s="111">
        <v>1</v>
      </c>
      <c r="H2" s="105">
        <v>30290.86</v>
      </c>
      <c r="I2" s="105"/>
      <c r="J2" s="105">
        <v>3935.31</v>
      </c>
      <c r="K2" s="105">
        <v>3554.31</v>
      </c>
      <c r="L2" s="105">
        <f>+M2+Q2</f>
        <v>21971.96</v>
      </c>
      <c r="M2" s="105">
        <v>6066.35</v>
      </c>
      <c r="N2" s="105">
        <v>9728.31</v>
      </c>
      <c r="O2" s="105">
        <f>+N2*G2</f>
        <v>9728.31</v>
      </c>
      <c r="P2" s="104" t="s">
        <v>303</v>
      </c>
      <c r="Q2" s="105">
        <v>15905.61</v>
      </c>
      <c r="R2" s="105">
        <v>14496.2</v>
      </c>
      <c r="S2" s="105">
        <v>10941.89</v>
      </c>
      <c r="T2" s="107">
        <v>0.49109999999999998</v>
      </c>
      <c r="U2" s="105">
        <v>10560.89</v>
      </c>
      <c r="V2" s="107">
        <v>0.34860000000000002</v>
      </c>
      <c r="W2" s="108">
        <v>0.36</v>
      </c>
    </row>
    <row r="3" spans="1:23" hidden="1" x14ac:dyDescent="0.25">
      <c r="A3" s="102">
        <v>13272</v>
      </c>
      <c r="B3" s="101" t="s">
        <v>33</v>
      </c>
      <c r="C3" s="101" t="s">
        <v>38</v>
      </c>
      <c r="D3" s="141">
        <v>46139</v>
      </c>
      <c r="E3" s="101" t="s">
        <v>304</v>
      </c>
      <c r="F3" s="101" t="s">
        <v>21</v>
      </c>
      <c r="G3" s="111">
        <v>1</v>
      </c>
      <c r="H3" s="105">
        <v>7244.42</v>
      </c>
      <c r="I3" s="105"/>
      <c r="J3" s="105">
        <v>658.64</v>
      </c>
      <c r="K3" s="105">
        <v>603.16</v>
      </c>
      <c r="L3" s="105">
        <f t="shared" ref="L3:L46" si="0">+M3+Q3</f>
        <v>0</v>
      </c>
      <c r="M3" s="105">
        <v>0</v>
      </c>
      <c r="N3" s="105">
        <v>3438.79</v>
      </c>
      <c r="O3" s="105">
        <f t="shared" ref="O3:O46" si="1">+N3*G3</f>
        <v>3438.79</v>
      </c>
      <c r="P3" s="105">
        <v>3805.63</v>
      </c>
      <c r="Q3" s="105">
        <v>0</v>
      </c>
      <c r="R3" s="105">
        <v>3805.63</v>
      </c>
      <c r="S3" s="105">
        <v>3202.47</v>
      </c>
      <c r="T3" s="107">
        <v>0.53300000000000003</v>
      </c>
      <c r="U3" s="105">
        <v>3146.99</v>
      </c>
      <c r="V3" s="107">
        <v>0.43440000000000001</v>
      </c>
      <c r="W3" s="108">
        <v>0.37</v>
      </c>
    </row>
    <row r="4" spans="1:23" hidden="1" x14ac:dyDescent="0.25">
      <c r="A4" s="102">
        <v>13257</v>
      </c>
      <c r="B4" s="101" t="s">
        <v>33</v>
      </c>
      <c r="C4" s="101" t="s">
        <v>67</v>
      </c>
      <c r="D4" s="141">
        <v>46139</v>
      </c>
      <c r="E4" s="101" t="s">
        <v>305</v>
      </c>
      <c r="F4" s="101" t="s">
        <v>21</v>
      </c>
      <c r="G4" s="111">
        <v>1</v>
      </c>
      <c r="H4" s="105">
        <v>2230.4</v>
      </c>
      <c r="I4" s="105"/>
      <c r="J4" s="105">
        <v>440.8</v>
      </c>
      <c r="K4" s="105">
        <v>444.33</v>
      </c>
      <c r="L4" s="105">
        <f t="shared" si="0"/>
        <v>0</v>
      </c>
      <c r="M4" s="105">
        <v>0</v>
      </c>
      <c r="N4" s="105">
        <v>1477.69</v>
      </c>
      <c r="O4" s="105">
        <f t="shared" si="1"/>
        <v>1477.69</v>
      </c>
      <c r="P4" s="105">
        <v>752.71</v>
      </c>
      <c r="Q4" s="105">
        <v>0</v>
      </c>
      <c r="R4" s="105">
        <v>521.59</v>
      </c>
      <c r="S4" s="105">
        <v>77.260000000000005</v>
      </c>
      <c r="T4" s="107">
        <v>3.4599999999999999E-2</v>
      </c>
      <c r="U4" s="105">
        <v>77.260000000000005</v>
      </c>
      <c r="V4" s="107">
        <v>3.4599999999999999E-2</v>
      </c>
      <c r="W4" s="108">
        <v>0.64</v>
      </c>
    </row>
    <row r="5" spans="1:23" x14ac:dyDescent="0.25">
      <c r="A5" s="102">
        <v>13252</v>
      </c>
      <c r="B5" s="101" t="s">
        <v>18</v>
      </c>
      <c r="C5" s="101" t="s">
        <v>42</v>
      </c>
      <c r="D5" s="141">
        <v>46128</v>
      </c>
      <c r="E5" s="101" t="s">
        <v>306</v>
      </c>
      <c r="F5" s="101" t="s">
        <v>21</v>
      </c>
      <c r="G5" s="111">
        <v>1</v>
      </c>
      <c r="H5" s="105">
        <v>2809.84</v>
      </c>
      <c r="I5" s="105"/>
      <c r="J5" s="105">
        <v>506.9</v>
      </c>
      <c r="K5" s="105">
        <v>350.46</v>
      </c>
      <c r="L5" s="105">
        <v>0</v>
      </c>
      <c r="M5" s="105">
        <v>478.39</v>
      </c>
      <c r="N5" s="105">
        <v>0</v>
      </c>
      <c r="O5" s="105">
        <f t="shared" si="1"/>
        <v>0</v>
      </c>
      <c r="P5" s="105">
        <v>2809.84</v>
      </c>
      <c r="Q5" s="104" t="s">
        <v>307</v>
      </c>
      <c r="R5" s="105">
        <v>2331.4499999999998</v>
      </c>
      <c r="S5" s="105">
        <v>1980.99</v>
      </c>
      <c r="T5" s="107">
        <v>0.88539999999999996</v>
      </c>
      <c r="U5" s="105">
        <v>1824.55</v>
      </c>
      <c r="V5" s="107">
        <v>0.64929999999999999</v>
      </c>
      <c r="W5" s="108">
        <v>0.75</v>
      </c>
    </row>
    <row r="6" spans="1:23" x14ac:dyDescent="0.25">
      <c r="A6" s="102">
        <v>13251</v>
      </c>
      <c r="B6" s="101" t="s">
        <v>18</v>
      </c>
      <c r="C6" s="101" t="s">
        <v>42</v>
      </c>
      <c r="D6" s="141">
        <v>46128</v>
      </c>
      <c r="E6" s="101" t="s">
        <v>308</v>
      </c>
      <c r="F6" s="101" t="s">
        <v>21</v>
      </c>
      <c r="G6" s="111">
        <v>1</v>
      </c>
      <c r="H6" s="105">
        <v>2809.8</v>
      </c>
      <c r="I6" s="105"/>
      <c r="J6" s="105">
        <v>506.9</v>
      </c>
      <c r="K6" s="105">
        <v>350.46</v>
      </c>
      <c r="L6" s="105">
        <v>0</v>
      </c>
      <c r="M6" s="105">
        <v>478.39</v>
      </c>
      <c r="N6" s="105">
        <v>0</v>
      </c>
      <c r="O6" s="105">
        <f t="shared" si="1"/>
        <v>0</v>
      </c>
      <c r="P6" s="105">
        <v>2809.8</v>
      </c>
      <c r="Q6" s="104" t="s">
        <v>307</v>
      </c>
      <c r="R6" s="105">
        <v>2331.41</v>
      </c>
      <c r="S6" s="105">
        <v>1980.95</v>
      </c>
      <c r="T6" s="107">
        <v>0.88539999999999996</v>
      </c>
      <c r="U6" s="105">
        <v>1824.51</v>
      </c>
      <c r="V6" s="107">
        <v>0.64929999999999999</v>
      </c>
      <c r="W6" s="108">
        <v>0.75</v>
      </c>
    </row>
    <row r="7" spans="1:23" hidden="1" x14ac:dyDescent="0.25">
      <c r="A7" s="102">
        <v>13243</v>
      </c>
      <c r="B7" s="101" t="s">
        <v>33</v>
      </c>
      <c r="C7" s="101" t="s">
        <v>67</v>
      </c>
      <c r="D7" s="141">
        <v>46139</v>
      </c>
      <c r="E7" s="101" t="s">
        <v>309</v>
      </c>
      <c r="F7" s="101" t="s">
        <v>21</v>
      </c>
      <c r="G7" s="111">
        <v>1</v>
      </c>
      <c r="H7" s="105">
        <v>17062.39</v>
      </c>
      <c r="I7" s="105"/>
      <c r="J7" s="105">
        <v>2428.6799999999998</v>
      </c>
      <c r="K7" s="105">
        <v>2189.11</v>
      </c>
      <c r="L7" s="105">
        <f t="shared" si="0"/>
        <v>17062.39</v>
      </c>
      <c r="M7" s="105">
        <v>5925.84</v>
      </c>
      <c r="N7" s="105">
        <v>904.3</v>
      </c>
      <c r="O7" s="105">
        <f t="shared" si="1"/>
        <v>904.3</v>
      </c>
      <c r="P7" s="104" t="s">
        <v>310</v>
      </c>
      <c r="Q7" s="105">
        <v>11136.55</v>
      </c>
      <c r="R7" s="105">
        <v>10232.25</v>
      </c>
      <c r="S7" s="105">
        <v>8043.14</v>
      </c>
      <c r="T7" s="107">
        <v>0.61370000000000002</v>
      </c>
      <c r="U7" s="105">
        <v>7803.57</v>
      </c>
      <c r="V7" s="107">
        <v>0.45739999999999997</v>
      </c>
      <c r="W7" s="108">
        <v>0</v>
      </c>
    </row>
    <row r="8" spans="1:23" hidden="1" x14ac:dyDescent="0.25">
      <c r="A8" s="102">
        <v>13241</v>
      </c>
      <c r="B8" s="101" t="s">
        <v>74</v>
      </c>
      <c r="C8" s="101" t="s">
        <v>311</v>
      </c>
      <c r="D8" s="141">
        <v>46127</v>
      </c>
      <c r="E8" s="101" t="s">
        <v>312</v>
      </c>
      <c r="F8" s="101" t="s">
        <v>21</v>
      </c>
      <c r="G8" s="111">
        <v>1</v>
      </c>
      <c r="H8" s="105">
        <v>3891.08</v>
      </c>
      <c r="I8" s="105"/>
      <c r="J8" s="105">
        <v>561.29</v>
      </c>
      <c r="K8" s="105">
        <v>561.29</v>
      </c>
      <c r="L8" s="105">
        <f t="shared" si="0"/>
        <v>0</v>
      </c>
      <c r="M8" s="105">
        <v>0</v>
      </c>
      <c r="N8" s="105">
        <v>1945.54</v>
      </c>
      <c r="O8" s="105">
        <f t="shared" si="1"/>
        <v>1945.54</v>
      </c>
      <c r="P8" s="105">
        <v>1945.54</v>
      </c>
      <c r="Q8" s="105">
        <v>0</v>
      </c>
      <c r="R8" s="105">
        <v>1945.54</v>
      </c>
      <c r="S8" s="105">
        <v>1384.25</v>
      </c>
      <c r="T8" s="107">
        <v>0.5</v>
      </c>
      <c r="U8" s="105">
        <v>1384.25</v>
      </c>
      <c r="V8" s="107">
        <v>0.35570000000000002</v>
      </c>
      <c r="W8" s="108">
        <v>0</v>
      </c>
    </row>
    <row r="9" spans="1:23" hidden="1" x14ac:dyDescent="0.25">
      <c r="A9" s="102">
        <v>13238</v>
      </c>
      <c r="B9" s="101" t="s">
        <v>50</v>
      </c>
      <c r="C9" s="101" t="s">
        <v>51</v>
      </c>
      <c r="D9" s="141">
        <v>46125</v>
      </c>
      <c r="E9" s="101" t="s">
        <v>313</v>
      </c>
      <c r="F9" s="101" t="s">
        <v>21</v>
      </c>
      <c r="G9" s="111">
        <v>1</v>
      </c>
      <c r="H9" s="105">
        <v>10939.5</v>
      </c>
      <c r="I9" s="105"/>
      <c r="J9" s="105">
        <v>0</v>
      </c>
      <c r="K9" s="105">
        <v>0</v>
      </c>
      <c r="L9" s="105">
        <f t="shared" si="0"/>
        <v>0</v>
      </c>
      <c r="M9" s="105">
        <v>0</v>
      </c>
      <c r="N9" s="105">
        <v>10939.5</v>
      </c>
      <c r="O9" s="105">
        <f t="shared" si="1"/>
        <v>10939.5</v>
      </c>
      <c r="P9" s="105">
        <v>0</v>
      </c>
      <c r="Q9" s="105">
        <v>0</v>
      </c>
      <c r="R9" s="105">
        <v>0</v>
      </c>
      <c r="S9" s="105">
        <v>0</v>
      </c>
      <c r="T9" s="107">
        <v>0</v>
      </c>
      <c r="U9" s="105">
        <v>0</v>
      </c>
      <c r="V9" s="107">
        <v>0</v>
      </c>
      <c r="W9" s="108">
        <v>0.1</v>
      </c>
    </row>
    <row r="10" spans="1:23" x14ac:dyDescent="0.25">
      <c r="A10" s="102">
        <v>13235</v>
      </c>
      <c r="B10" s="101" t="s">
        <v>18</v>
      </c>
      <c r="C10" s="101" t="s">
        <v>314</v>
      </c>
      <c r="D10" s="141">
        <v>46139</v>
      </c>
      <c r="E10" s="101" t="s">
        <v>315</v>
      </c>
      <c r="F10" s="101" t="s">
        <v>21</v>
      </c>
      <c r="G10" s="111">
        <v>1</v>
      </c>
      <c r="H10" s="105">
        <v>4632.33</v>
      </c>
      <c r="I10" s="105"/>
      <c r="J10" s="105">
        <v>695.64</v>
      </c>
      <c r="K10" s="105">
        <v>488.33</v>
      </c>
      <c r="L10" s="105">
        <f t="shared" si="0"/>
        <v>4399.9799999999996</v>
      </c>
      <c r="M10" s="105">
        <v>1012.82</v>
      </c>
      <c r="N10" s="105">
        <v>160.24</v>
      </c>
      <c r="O10" s="105">
        <f t="shared" si="1"/>
        <v>160.24</v>
      </c>
      <c r="P10" s="105">
        <v>72.11</v>
      </c>
      <c r="Q10" s="105">
        <v>3387.16</v>
      </c>
      <c r="R10" s="105">
        <v>3459.27</v>
      </c>
      <c r="S10" s="105">
        <v>2970.94</v>
      </c>
      <c r="T10" s="107">
        <v>0.79149999999999998</v>
      </c>
      <c r="U10" s="105">
        <v>2763.63</v>
      </c>
      <c r="V10" s="107">
        <v>0.59660000000000002</v>
      </c>
      <c r="W10" s="108">
        <v>0.45</v>
      </c>
    </row>
    <row r="11" spans="1:23" hidden="1" x14ac:dyDescent="0.25">
      <c r="A11" s="102">
        <v>13233</v>
      </c>
      <c r="B11" s="101" t="s">
        <v>316</v>
      </c>
      <c r="C11" s="101" t="s">
        <v>59</v>
      </c>
      <c r="D11" s="141">
        <v>46141</v>
      </c>
      <c r="E11" s="101" t="s">
        <v>317</v>
      </c>
      <c r="F11" s="101" t="s">
        <v>21</v>
      </c>
      <c r="G11" s="111">
        <v>1</v>
      </c>
      <c r="H11" s="105">
        <v>21749.759999999998</v>
      </c>
      <c r="I11" s="105"/>
      <c r="J11" s="105">
        <v>3119.76</v>
      </c>
      <c r="K11" s="105">
        <v>3119.76</v>
      </c>
      <c r="L11" s="105">
        <f t="shared" si="0"/>
        <v>0</v>
      </c>
      <c r="M11" s="105">
        <v>0</v>
      </c>
      <c r="N11" s="105">
        <v>15104</v>
      </c>
      <c r="O11" s="105">
        <f t="shared" si="1"/>
        <v>15104</v>
      </c>
      <c r="P11" s="105">
        <v>6645.76</v>
      </c>
      <c r="Q11" s="105">
        <v>0</v>
      </c>
      <c r="R11" s="105">
        <v>6645.76</v>
      </c>
      <c r="S11" s="105">
        <v>3526</v>
      </c>
      <c r="T11" s="107">
        <v>0.30559999999999998</v>
      </c>
      <c r="U11" s="105">
        <v>3526</v>
      </c>
      <c r="V11" s="107">
        <v>0.16209999999999999</v>
      </c>
      <c r="W11" s="108">
        <v>0.44</v>
      </c>
    </row>
    <row r="12" spans="1:23" hidden="1" x14ac:dyDescent="0.25">
      <c r="A12" s="102">
        <v>13232</v>
      </c>
      <c r="B12" s="101" t="s">
        <v>74</v>
      </c>
      <c r="C12" s="101" t="s">
        <v>274</v>
      </c>
      <c r="D12" s="141">
        <v>46128</v>
      </c>
      <c r="E12" s="101"/>
      <c r="F12" s="101" t="s">
        <v>21</v>
      </c>
      <c r="G12" s="111">
        <v>1</v>
      </c>
      <c r="H12" s="105">
        <v>2037.82</v>
      </c>
      <c r="I12" s="105"/>
      <c r="J12" s="105">
        <v>500.82</v>
      </c>
      <c r="K12" s="105">
        <v>496.89</v>
      </c>
      <c r="L12" s="105">
        <f t="shared" si="0"/>
        <v>0</v>
      </c>
      <c r="M12" s="105">
        <v>0</v>
      </c>
      <c r="N12" s="105">
        <v>1543.1</v>
      </c>
      <c r="O12" s="105">
        <f t="shared" si="1"/>
        <v>1543.1</v>
      </c>
      <c r="P12" s="105">
        <v>494.72</v>
      </c>
      <c r="Q12" s="105">
        <v>0</v>
      </c>
      <c r="R12" s="105">
        <v>494.36</v>
      </c>
      <c r="S12" s="104" t="s">
        <v>318</v>
      </c>
      <c r="T12" s="107">
        <v>0.2445</v>
      </c>
      <c r="U12" s="104" t="s">
        <v>319</v>
      </c>
      <c r="V12" s="102" t="s">
        <v>320</v>
      </c>
      <c r="W12" s="108">
        <v>0.3</v>
      </c>
    </row>
    <row r="13" spans="1:23" hidden="1" x14ac:dyDescent="0.25">
      <c r="A13" s="102">
        <v>13229</v>
      </c>
      <c r="B13" s="101" t="s">
        <v>33</v>
      </c>
      <c r="C13" s="101" t="s">
        <v>178</v>
      </c>
      <c r="D13" s="141">
        <v>46139</v>
      </c>
      <c r="E13" s="101" t="s">
        <v>321</v>
      </c>
      <c r="F13" s="101" t="s">
        <v>21</v>
      </c>
      <c r="G13" s="111">
        <v>1</v>
      </c>
      <c r="H13" s="105">
        <v>15747</v>
      </c>
      <c r="I13" s="105"/>
      <c r="J13" s="105">
        <v>863.42</v>
      </c>
      <c r="K13" s="105">
        <v>840.38</v>
      </c>
      <c r="L13" s="105">
        <f t="shared" si="0"/>
        <v>0</v>
      </c>
      <c r="M13" s="105">
        <v>0</v>
      </c>
      <c r="N13" s="105">
        <v>11346</v>
      </c>
      <c r="O13" s="105">
        <f t="shared" si="1"/>
        <v>11346</v>
      </c>
      <c r="P13" s="105">
        <v>4401</v>
      </c>
      <c r="Q13" s="105">
        <v>0</v>
      </c>
      <c r="R13" s="105">
        <v>4400.83</v>
      </c>
      <c r="S13" s="105">
        <v>3560.45</v>
      </c>
      <c r="T13" s="107">
        <v>0.28089999999999998</v>
      </c>
      <c r="U13" s="105">
        <v>3537.41</v>
      </c>
      <c r="V13" s="107">
        <v>0.22459999999999999</v>
      </c>
      <c r="W13" s="108">
        <v>0.3</v>
      </c>
    </row>
    <row r="14" spans="1:23" hidden="1" x14ac:dyDescent="0.25">
      <c r="A14" s="102">
        <v>13222</v>
      </c>
      <c r="B14" s="101" t="s">
        <v>50</v>
      </c>
      <c r="C14" s="101" t="s">
        <v>51</v>
      </c>
      <c r="D14" s="141">
        <v>46140</v>
      </c>
      <c r="E14" s="101" t="s">
        <v>322</v>
      </c>
      <c r="F14" s="101" t="s">
        <v>21</v>
      </c>
      <c r="G14" s="111">
        <v>1</v>
      </c>
      <c r="H14" s="105">
        <v>2885.33</v>
      </c>
      <c r="I14" s="105"/>
      <c r="J14" s="105">
        <v>451.6</v>
      </c>
      <c r="K14" s="105">
        <v>500.46</v>
      </c>
      <c r="L14" s="105">
        <f t="shared" si="0"/>
        <v>0</v>
      </c>
      <c r="M14" s="105">
        <v>0</v>
      </c>
      <c r="N14" s="105">
        <v>1565.39</v>
      </c>
      <c r="O14" s="105">
        <f t="shared" si="1"/>
        <v>1565.39</v>
      </c>
      <c r="P14" s="105">
        <v>1319.94</v>
      </c>
      <c r="Q14" s="105">
        <v>0</v>
      </c>
      <c r="R14" s="105">
        <v>1105.74</v>
      </c>
      <c r="S14" s="105">
        <v>605.28</v>
      </c>
      <c r="T14" s="107">
        <v>0.20979999999999999</v>
      </c>
      <c r="U14" s="105">
        <v>605.28</v>
      </c>
      <c r="V14" s="107">
        <v>0.20979999999999999</v>
      </c>
      <c r="W14" s="108">
        <v>0</v>
      </c>
    </row>
    <row r="15" spans="1:23" hidden="1" x14ac:dyDescent="0.25">
      <c r="A15" s="102">
        <v>13212</v>
      </c>
      <c r="B15" s="101" t="s">
        <v>24</v>
      </c>
      <c r="C15" s="101" t="s">
        <v>323</v>
      </c>
      <c r="D15" s="141">
        <v>46140</v>
      </c>
      <c r="E15" s="101" t="s">
        <v>324</v>
      </c>
      <c r="F15" s="101" t="s">
        <v>21</v>
      </c>
      <c r="G15" s="111">
        <v>1</v>
      </c>
      <c r="H15" s="105">
        <v>24041.73</v>
      </c>
      <c r="I15" s="105"/>
      <c r="J15" s="105">
        <v>2966.22</v>
      </c>
      <c r="K15" s="105">
        <v>3104.98</v>
      </c>
      <c r="L15" s="105">
        <f t="shared" si="0"/>
        <v>12410.3</v>
      </c>
      <c r="M15" s="105">
        <v>7440.13</v>
      </c>
      <c r="N15" s="105">
        <v>6516</v>
      </c>
      <c r="O15" s="105">
        <f t="shared" si="1"/>
        <v>6516</v>
      </c>
      <c r="P15" s="105">
        <v>5115.43</v>
      </c>
      <c r="Q15" s="105">
        <v>4970.17</v>
      </c>
      <c r="R15" s="105">
        <v>10085.24</v>
      </c>
      <c r="S15" s="105">
        <v>6980.26</v>
      </c>
      <c r="T15" s="107">
        <v>0.2903</v>
      </c>
      <c r="U15" s="105">
        <v>6980.26</v>
      </c>
      <c r="V15" s="107">
        <v>0.2903</v>
      </c>
      <c r="W15" s="108">
        <v>0.6</v>
      </c>
    </row>
    <row r="16" spans="1:23" hidden="1" x14ac:dyDescent="0.25">
      <c r="A16" s="102">
        <v>13206</v>
      </c>
      <c r="B16" s="101" t="s">
        <v>50</v>
      </c>
      <c r="C16" s="101" t="s">
        <v>91</v>
      </c>
      <c r="D16" s="141">
        <v>46125</v>
      </c>
      <c r="E16" s="101" t="s">
        <v>325</v>
      </c>
      <c r="F16" s="101" t="s">
        <v>21</v>
      </c>
      <c r="G16" s="111">
        <v>1</v>
      </c>
      <c r="H16" s="105">
        <v>13991.6</v>
      </c>
      <c r="I16" s="105"/>
      <c r="J16" s="105">
        <v>2148.86</v>
      </c>
      <c r="K16" s="105">
        <v>1625.54</v>
      </c>
      <c r="L16" s="105">
        <f t="shared" si="0"/>
        <v>0</v>
      </c>
      <c r="M16" s="105">
        <v>0</v>
      </c>
      <c r="N16" s="105">
        <v>7239.66</v>
      </c>
      <c r="O16" s="105">
        <f t="shared" si="1"/>
        <v>7239.66</v>
      </c>
      <c r="P16" s="105">
        <v>6751.94</v>
      </c>
      <c r="Q16" s="105">
        <v>0</v>
      </c>
      <c r="R16" s="105">
        <v>6751.94</v>
      </c>
      <c r="S16" s="105">
        <v>5126.3999999999996</v>
      </c>
      <c r="T16" s="107">
        <v>0.52</v>
      </c>
      <c r="U16" s="105">
        <v>4603.08</v>
      </c>
      <c r="V16" s="107">
        <v>0.32900000000000001</v>
      </c>
      <c r="W16" s="108">
        <v>0.4</v>
      </c>
    </row>
    <row r="17" spans="1:23" hidden="1" x14ac:dyDescent="0.25">
      <c r="A17" s="102">
        <v>13203</v>
      </c>
      <c r="B17" s="101" t="s">
        <v>24</v>
      </c>
      <c r="C17" s="101" t="s">
        <v>323</v>
      </c>
      <c r="D17" s="141">
        <v>46140</v>
      </c>
      <c r="E17" s="101" t="s">
        <v>326</v>
      </c>
      <c r="F17" s="101" t="s">
        <v>21</v>
      </c>
      <c r="G17" s="111">
        <v>1</v>
      </c>
      <c r="H17" s="105">
        <v>8667.27</v>
      </c>
      <c r="I17" s="105"/>
      <c r="J17" s="105">
        <v>1414.24</v>
      </c>
      <c r="K17" s="105">
        <v>1186.93</v>
      </c>
      <c r="L17" s="105">
        <f t="shared" si="0"/>
        <v>6364.04</v>
      </c>
      <c r="M17" s="105">
        <v>3091.12</v>
      </c>
      <c r="N17" s="105">
        <v>236.25</v>
      </c>
      <c r="O17" s="105">
        <f t="shared" si="1"/>
        <v>236.25</v>
      </c>
      <c r="P17" s="105">
        <v>2066.98</v>
      </c>
      <c r="Q17" s="105">
        <v>3272.92</v>
      </c>
      <c r="R17" s="105">
        <v>5339.54</v>
      </c>
      <c r="S17" s="105">
        <v>4152.6099999999997</v>
      </c>
      <c r="T17" s="107">
        <v>0.64229999999999998</v>
      </c>
      <c r="U17" s="105">
        <v>3925.3</v>
      </c>
      <c r="V17" s="107">
        <v>0.45290000000000002</v>
      </c>
      <c r="W17" s="108">
        <v>0.5</v>
      </c>
    </row>
    <row r="18" spans="1:23" hidden="1" x14ac:dyDescent="0.25">
      <c r="A18" s="102">
        <v>13200</v>
      </c>
      <c r="B18" s="101" t="s">
        <v>24</v>
      </c>
      <c r="C18" s="101" t="s">
        <v>323</v>
      </c>
      <c r="D18" s="141">
        <v>46141</v>
      </c>
      <c r="E18" s="101" t="s">
        <v>327</v>
      </c>
      <c r="F18" s="101" t="s">
        <v>21</v>
      </c>
      <c r="G18" s="111">
        <v>1</v>
      </c>
      <c r="H18" s="105">
        <v>66005.81</v>
      </c>
      <c r="I18" s="105"/>
      <c r="J18" s="105">
        <v>7438.32</v>
      </c>
      <c r="K18" s="105">
        <v>5274.88</v>
      </c>
      <c r="L18" s="105">
        <f t="shared" si="0"/>
        <v>22195.52</v>
      </c>
      <c r="M18" s="105">
        <v>5237.93</v>
      </c>
      <c r="N18" s="105">
        <v>19843.21</v>
      </c>
      <c r="O18" s="105">
        <f t="shared" si="1"/>
        <v>19843.21</v>
      </c>
      <c r="P18" s="105">
        <v>23967.08</v>
      </c>
      <c r="Q18" s="105">
        <v>16957.59</v>
      </c>
      <c r="R18" s="105">
        <v>40924.61</v>
      </c>
      <c r="S18" s="105">
        <v>35649.730000000003</v>
      </c>
      <c r="T18" s="107">
        <v>0.65280000000000005</v>
      </c>
      <c r="U18" s="105">
        <v>33486.29</v>
      </c>
      <c r="V18" s="107">
        <v>0.50729999999999997</v>
      </c>
      <c r="W18" s="108">
        <v>0.48</v>
      </c>
    </row>
    <row r="19" spans="1:23" hidden="1" x14ac:dyDescent="0.25">
      <c r="A19" s="102">
        <v>13188</v>
      </c>
      <c r="B19" s="101" t="s">
        <v>33</v>
      </c>
      <c r="C19" s="101" t="s">
        <v>155</v>
      </c>
      <c r="D19" s="141">
        <v>46141</v>
      </c>
      <c r="E19" s="101" t="s">
        <v>328</v>
      </c>
      <c r="F19" s="101" t="s">
        <v>21</v>
      </c>
      <c r="G19" s="111">
        <v>1</v>
      </c>
      <c r="H19" s="105">
        <v>12460</v>
      </c>
      <c r="I19" s="105"/>
      <c r="J19" s="105">
        <v>1301</v>
      </c>
      <c r="K19" s="105">
        <v>1130</v>
      </c>
      <c r="L19" s="105">
        <f t="shared" si="0"/>
        <v>0</v>
      </c>
      <c r="M19" s="105">
        <v>0</v>
      </c>
      <c r="N19" s="105">
        <v>7000</v>
      </c>
      <c r="O19" s="105">
        <f t="shared" si="1"/>
        <v>7000</v>
      </c>
      <c r="P19" s="105">
        <v>5460</v>
      </c>
      <c r="Q19" s="105">
        <v>0</v>
      </c>
      <c r="R19" s="105">
        <v>5460</v>
      </c>
      <c r="S19" s="105">
        <v>4330</v>
      </c>
      <c r="T19" s="107">
        <v>0.45190000000000002</v>
      </c>
      <c r="U19" s="105">
        <v>4159</v>
      </c>
      <c r="V19" s="107">
        <v>0.33379999999999999</v>
      </c>
      <c r="W19" s="108">
        <v>0.4</v>
      </c>
    </row>
    <row r="20" spans="1:23" x14ac:dyDescent="0.25">
      <c r="A20" s="102">
        <v>13187</v>
      </c>
      <c r="B20" s="101" t="s">
        <v>18</v>
      </c>
      <c r="C20" s="101" t="s">
        <v>117</v>
      </c>
      <c r="D20" s="141">
        <v>46120</v>
      </c>
      <c r="E20" s="101" t="s">
        <v>329</v>
      </c>
      <c r="F20" s="101" t="s">
        <v>21</v>
      </c>
      <c r="G20" s="111">
        <v>1</v>
      </c>
      <c r="H20" s="105">
        <v>2652</v>
      </c>
      <c r="I20" s="105"/>
      <c r="J20" s="105">
        <v>462.16</v>
      </c>
      <c r="K20" s="105">
        <v>250</v>
      </c>
      <c r="L20" s="105">
        <f t="shared" si="0"/>
        <v>0</v>
      </c>
      <c r="M20" s="105">
        <v>0</v>
      </c>
      <c r="N20" s="105">
        <v>0</v>
      </c>
      <c r="O20" s="105">
        <f t="shared" si="1"/>
        <v>0</v>
      </c>
      <c r="P20" s="105">
        <v>2652</v>
      </c>
      <c r="Q20" s="105">
        <v>0</v>
      </c>
      <c r="R20" s="105">
        <v>2652</v>
      </c>
      <c r="S20" s="105">
        <v>2402</v>
      </c>
      <c r="T20" s="107">
        <v>1.08</v>
      </c>
      <c r="U20" s="105">
        <v>2189.84</v>
      </c>
      <c r="V20" s="107">
        <v>0.82569999999999999</v>
      </c>
      <c r="W20" s="108">
        <v>0</v>
      </c>
    </row>
    <row r="21" spans="1:23" hidden="1" x14ac:dyDescent="0.25">
      <c r="A21" s="102">
        <v>13184</v>
      </c>
      <c r="B21" s="101" t="s">
        <v>24</v>
      </c>
      <c r="C21" s="101" t="s">
        <v>59</v>
      </c>
      <c r="D21" s="141">
        <v>46125</v>
      </c>
      <c r="E21" s="101" t="s">
        <v>330</v>
      </c>
      <c r="F21" s="101" t="s">
        <v>21</v>
      </c>
      <c r="G21" s="111">
        <v>1</v>
      </c>
      <c r="H21" s="105">
        <v>19710</v>
      </c>
      <c r="I21" s="105"/>
      <c r="J21" s="105">
        <v>2917.6</v>
      </c>
      <c r="K21" s="105">
        <v>4391.8599999999997</v>
      </c>
      <c r="L21" s="105">
        <f t="shared" si="0"/>
        <v>0</v>
      </c>
      <c r="M21" s="105">
        <v>0</v>
      </c>
      <c r="N21" s="105">
        <v>21799.26</v>
      </c>
      <c r="O21" s="105">
        <f t="shared" si="1"/>
        <v>21799.26</v>
      </c>
      <c r="P21" s="104" t="s">
        <v>175</v>
      </c>
      <c r="Q21" s="105">
        <v>0</v>
      </c>
      <c r="R21" s="104" t="s">
        <v>175</v>
      </c>
      <c r="S21" s="104" t="s">
        <v>176</v>
      </c>
      <c r="T21" s="102" t="s">
        <v>177</v>
      </c>
      <c r="U21" s="104" t="s">
        <v>176</v>
      </c>
      <c r="V21" s="102" t="s">
        <v>177</v>
      </c>
      <c r="W21" s="108">
        <v>0.4</v>
      </c>
    </row>
    <row r="22" spans="1:23" hidden="1" x14ac:dyDescent="0.25">
      <c r="A22" s="102">
        <v>13176</v>
      </c>
      <c r="B22" s="101" t="s">
        <v>316</v>
      </c>
      <c r="C22" s="101" t="s">
        <v>59</v>
      </c>
      <c r="D22" s="141">
        <v>46140</v>
      </c>
      <c r="E22" s="101" t="s">
        <v>331</v>
      </c>
      <c r="F22" s="101" t="s">
        <v>21</v>
      </c>
      <c r="G22" s="111">
        <v>1</v>
      </c>
      <c r="H22" s="105">
        <v>7386.3</v>
      </c>
      <c r="I22" s="105"/>
      <c r="J22" s="105">
        <v>1217.8599999999999</v>
      </c>
      <c r="K22" s="105">
        <v>1083.7</v>
      </c>
      <c r="L22" s="105">
        <f t="shared" si="0"/>
        <v>0</v>
      </c>
      <c r="M22" s="105">
        <v>0</v>
      </c>
      <c r="N22" s="105">
        <v>4387.9399999999996</v>
      </c>
      <c r="O22" s="105">
        <f t="shared" si="1"/>
        <v>4387.9399999999996</v>
      </c>
      <c r="P22" s="105">
        <v>2998.36</v>
      </c>
      <c r="Q22" s="105">
        <v>0</v>
      </c>
      <c r="R22" s="105">
        <v>2998.36</v>
      </c>
      <c r="S22" s="105">
        <v>1914.66</v>
      </c>
      <c r="T22" s="107">
        <v>0.42409999999999998</v>
      </c>
      <c r="U22" s="105">
        <v>1780.5</v>
      </c>
      <c r="V22" s="107">
        <v>0.24110000000000001</v>
      </c>
      <c r="W22" s="108">
        <v>0.45</v>
      </c>
    </row>
    <row r="23" spans="1:23" hidden="1" x14ac:dyDescent="0.25">
      <c r="A23" s="102">
        <v>13160</v>
      </c>
      <c r="B23" s="101" t="s">
        <v>316</v>
      </c>
      <c r="C23" s="101" t="s">
        <v>59</v>
      </c>
      <c r="D23" s="141">
        <v>46120</v>
      </c>
      <c r="E23" s="101" t="s">
        <v>332</v>
      </c>
      <c r="F23" s="101" t="s">
        <v>21</v>
      </c>
      <c r="G23" s="111">
        <v>1</v>
      </c>
      <c r="H23" s="105">
        <v>3397.5</v>
      </c>
      <c r="I23" s="105"/>
      <c r="J23" s="105">
        <v>677.5</v>
      </c>
      <c r="K23" s="105">
        <v>677.5</v>
      </c>
      <c r="L23" s="105">
        <f t="shared" si="0"/>
        <v>0</v>
      </c>
      <c r="M23" s="105">
        <v>0</v>
      </c>
      <c r="N23" s="105">
        <v>2250</v>
      </c>
      <c r="O23" s="105">
        <f t="shared" si="1"/>
        <v>2250</v>
      </c>
      <c r="P23" s="105">
        <v>1147.5</v>
      </c>
      <c r="Q23" s="105">
        <v>0</v>
      </c>
      <c r="R23" s="105">
        <v>1147.5</v>
      </c>
      <c r="S23" s="105">
        <v>470</v>
      </c>
      <c r="T23" s="107">
        <v>0.3377</v>
      </c>
      <c r="U23" s="105">
        <v>470</v>
      </c>
      <c r="V23" s="107">
        <v>0.13830000000000001</v>
      </c>
      <c r="W23" s="108">
        <v>0.51</v>
      </c>
    </row>
    <row r="24" spans="1:23" hidden="1" x14ac:dyDescent="0.25">
      <c r="A24" s="102">
        <v>13151</v>
      </c>
      <c r="B24" s="101" t="s">
        <v>33</v>
      </c>
      <c r="C24" s="101" t="s">
        <v>67</v>
      </c>
      <c r="D24" s="141">
        <v>46127</v>
      </c>
      <c r="E24" s="101" t="s">
        <v>333</v>
      </c>
      <c r="F24" s="101" t="s">
        <v>21</v>
      </c>
      <c r="G24" s="111">
        <v>1</v>
      </c>
      <c r="H24" s="105">
        <v>50656.47</v>
      </c>
      <c r="I24" s="105"/>
      <c r="J24" s="105">
        <v>1501.23</v>
      </c>
      <c r="K24" s="105">
        <v>1621.14</v>
      </c>
      <c r="L24" s="105">
        <f t="shared" si="0"/>
        <v>0</v>
      </c>
      <c r="M24" s="105">
        <v>0</v>
      </c>
      <c r="N24" s="105">
        <v>40704.83</v>
      </c>
      <c r="O24" s="105">
        <f t="shared" si="1"/>
        <v>40704.83</v>
      </c>
      <c r="P24" s="105">
        <v>9951.64</v>
      </c>
      <c r="Q24" s="105">
        <v>0</v>
      </c>
      <c r="R24" s="105">
        <v>9951.08</v>
      </c>
      <c r="S24" s="105">
        <v>8329.94</v>
      </c>
      <c r="T24" s="107">
        <v>0.16439999999999999</v>
      </c>
      <c r="U24" s="105">
        <v>8329.94</v>
      </c>
      <c r="V24" s="107">
        <v>0.16439999999999999</v>
      </c>
      <c r="W24" s="108">
        <v>0.38</v>
      </c>
    </row>
    <row r="25" spans="1:23" x14ac:dyDescent="0.25">
      <c r="A25" s="102">
        <v>13145</v>
      </c>
      <c r="B25" s="101" t="s">
        <v>18</v>
      </c>
      <c r="C25" s="101" t="s">
        <v>19</v>
      </c>
      <c r="D25" s="141">
        <v>46125</v>
      </c>
      <c r="E25" s="101" t="s">
        <v>334</v>
      </c>
      <c r="F25" s="101" t="s">
        <v>21</v>
      </c>
      <c r="G25" s="111">
        <v>1</v>
      </c>
      <c r="H25" s="105">
        <v>25463.759999999998</v>
      </c>
      <c r="I25" s="105"/>
      <c r="J25" s="105">
        <v>3047.86</v>
      </c>
      <c r="K25" s="105">
        <v>3401.86</v>
      </c>
      <c r="L25" s="105">
        <f t="shared" si="0"/>
        <v>14721.82</v>
      </c>
      <c r="M25" s="105">
        <v>8548.74</v>
      </c>
      <c r="N25" s="105">
        <v>8478.94</v>
      </c>
      <c r="O25" s="105">
        <f t="shared" si="1"/>
        <v>8478.94</v>
      </c>
      <c r="P25" s="105">
        <v>2263</v>
      </c>
      <c r="Q25" s="105">
        <v>6173.08</v>
      </c>
      <c r="R25" s="105">
        <v>8436.08</v>
      </c>
      <c r="S25" s="105">
        <v>5034.22</v>
      </c>
      <c r="T25" s="107">
        <v>0.19769999999999999</v>
      </c>
      <c r="U25" s="105">
        <v>5034.22</v>
      </c>
      <c r="V25" s="107">
        <v>0.19769999999999999</v>
      </c>
      <c r="W25" s="108">
        <v>0.36</v>
      </c>
    </row>
    <row r="26" spans="1:23" hidden="1" x14ac:dyDescent="0.25">
      <c r="A26" s="102">
        <v>13142</v>
      </c>
      <c r="B26" s="101" t="s">
        <v>33</v>
      </c>
      <c r="C26" s="101" t="s">
        <v>335</v>
      </c>
      <c r="D26" s="141">
        <v>46126</v>
      </c>
      <c r="E26" s="101" t="s">
        <v>336</v>
      </c>
      <c r="F26" s="101" t="s">
        <v>21</v>
      </c>
      <c r="G26" s="111">
        <v>1</v>
      </c>
      <c r="H26" s="105">
        <v>72959.460000000006</v>
      </c>
      <c r="I26" s="105"/>
      <c r="J26" s="105">
        <v>2083.6799999999998</v>
      </c>
      <c r="K26" s="105">
        <v>2190.39</v>
      </c>
      <c r="L26" s="105">
        <f t="shared" si="0"/>
        <v>0</v>
      </c>
      <c r="M26" s="105">
        <v>0</v>
      </c>
      <c r="N26" s="105">
        <v>59679.66</v>
      </c>
      <c r="O26" s="105">
        <f t="shared" si="1"/>
        <v>59679.66</v>
      </c>
      <c r="P26" s="105">
        <v>13279.8</v>
      </c>
      <c r="Q26" s="105">
        <v>0</v>
      </c>
      <c r="R26" s="105">
        <v>13279.62</v>
      </c>
      <c r="S26" s="105">
        <v>11089.23</v>
      </c>
      <c r="T26" s="107">
        <v>0.152</v>
      </c>
      <c r="U26" s="105">
        <v>11089.23</v>
      </c>
      <c r="V26" s="107">
        <v>0.152</v>
      </c>
      <c r="W26" s="108">
        <v>0.3</v>
      </c>
    </row>
    <row r="27" spans="1:23" hidden="1" x14ac:dyDescent="0.25">
      <c r="A27" s="102">
        <v>13136</v>
      </c>
      <c r="B27" s="101" t="s">
        <v>74</v>
      </c>
      <c r="C27" s="101" t="s">
        <v>337</v>
      </c>
      <c r="D27" s="141">
        <v>46120</v>
      </c>
      <c r="E27" s="101" t="s">
        <v>338</v>
      </c>
      <c r="F27" s="101" t="s">
        <v>21</v>
      </c>
      <c r="G27" s="111">
        <v>1</v>
      </c>
      <c r="H27" s="105">
        <v>7469.14</v>
      </c>
      <c r="I27" s="105"/>
      <c r="J27" s="105">
        <v>1235.29</v>
      </c>
      <c r="K27" s="105">
        <v>1796.3</v>
      </c>
      <c r="L27" s="105">
        <f>+M27-2028.42</f>
        <v>2786.5</v>
      </c>
      <c r="M27" s="105">
        <v>4814.92</v>
      </c>
      <c r="N27" s="105">
        <v>3344.75</v>
      </c>
      <c r="O27" s="105">
        <f t="shared" si="1"/>
        <v>3344.75</v>
      </c>
      <c r="P27" s="105">
        <v>1337.89</v>
      </c>
      <c r="Q27" s="104" t="s">
        <v>339</v>
      </c>
      <c r="R27" s="104" t="s">
        <v>340</v>
      </c>
      <c r="S27" s="104" t="s">
        <v>341</v>
      </c>
      <c r="T27" s="102" t="s">
        <v>342</v>
      </c>
      <c r="U27" s="104" t="s">
        <v>341</v>
      </c>
      <c r="V27" s="102" t="s">
        <v>342</v>
      </c>
      <c r="W27" s="108">
        <v>0.4</v>
      </c>
    </row>
    <row r="28" spans="1:23" hidden="1" x14ac:dyDescent="0.25">
      <c r="A28" s="102">
        <v>13134</v>
      </c>
      <c r="B28" s="101" t="s">
        <v>74</v>
      </c>
      <c r="C28" s="101" t="s">
        <v>51</v>
      </c>
      <c r="D28" s="141">
        <v>46125</v>
      </c>
      <c r="E28" s="101" t="s">
        <v>343</v>
      </c>
      <c r="F28" s="101" t="s">
        <v>21</v>
      </c>
      <c r="G28" s="111">
        <v>1</v>
      </c>
      <c r="H28" s="105">
        <v>1311.93</v>
      </c>
      <c r="I28" s="105"/>
      <c r="J28" s="105">
        <v>319.97000000000003</v>
      </c>
      <c r="K28" s="105">
        <v>342.22</v>
      </c>
      <c r="L28" s="105">
        <f t="shared" si="0"/>
        <v>0</v>
      </c>
      <c r="M28" s="105">
        <v>0</v>
      </c>
      <c r="N28" s="105">
        <v>576.37</v>
      </c>
      <c r="O28" s="105">
        <f t="shared" si="1"/>
        <v>576.37</v>
      </c>
      <c r="P28" s="105">
        <v>735.56</v>
      </c>
      <c r="Q28" s="105">
        <v>0</v>
      </c>
      <c r="R28" s="105">
        <v>735.56</v>
      </c>
      <c r="S28" s="105">
        <v>393.34</v>
      </c>
      <c r="T28" s="107">
        <v>0.29980000000000001</v>
      </c>
      <c r="U28" s="105">
        <v>393.34</v>
      </c>
      <c r="V28" s="107">
        <v>0.29980000000000001</v>
      </c>
      <c r="W28" s="108">
        <v>0</v>
      </c>
    </row>
    <row r="29" spans="1:23" x14ac:dyDescent="0.25">
      <c r="A29" s="102">
        <v>13129</v>
      </c>
      <c r="B29" s="101" t="s">
        <v>18</v>
      </c>
      <c r="C29" s="101" t="s">
        <v>19</v>
      </c>
      <c r="D29" s="141">
        <v>46125</v>
      </c>
      <c r="E29" s="101" t="s">
        <v>344</v>
      </c>
      <c r="F29" s="101" t="s">
        <v>21</v>
      </c>
      <c r="G29" s="111">
        <v>1</v>
      </c>
      <c r="H29" s="105">
        <v>111565.98</v>
      </c>
      <c r="I29" s="105"/>
      <c r="J29" s="105">
        <v>13167.73</v>
      </c>
      <c r="K29" s="105">
        <v>12607.39</v>
      </c>
      <c r="L29" s="105">
        <f t="shared" si="0"/>
        <v>22553.72</v>
      </c>
      <c r="M29" s="105">
        <v>8270.1299999999992</v>
      </c>
      <c r="N29" s="105">
        <v>66379.13</v>
      </c>
      <c r="O29" s="105">
        <f t="shared" si="1"/>
        <v>66379.13</v>
      </c>
      <c r="P29" s="105">
        <v>22633.13</v>
      </c>
      <c r="Q29" s="105">
        <v>14283.59</v>
      </c>
      <c r="R29" s="105">
        <v>36916.54</v>
      </c>
      <c r="S29" s="105">
        <v>24309.15</v>
      </c>
      <c r="T29" s="107">
        <v>0.33589999999999998</v>
      </c>
      <c r="U29" s="105">
        <v>23748.81</v>
      </c>
      <c r="V29" s="107">
        <v>0.21290000000000001</v>
      </c>
      <c r="W29" s="108">
        <v>0.35</v>
      </c>
    </row>
    <row r="30" spans="1:23" hidden="1" x14ac:dyDescent="0.25">
      <c r="A30" s="102">
        <v>13128</v>
      </c>
      <c r="B30" s="101" t="s">
        <v>24</v>
      </c>
      <c r="C30" s="101" t="s">
        <v>135</v>
      </c>
      <c r="D30" s="141">
        <v>46122</v>
      </c>
      <c r="E30" s="101" t="s">
        <v>345</v>
      </c>
      <c r="F30" s="101" t="s">
        <v>21</v>
      </c>
      <c r="G30" s="111">
        <v>1</v>
      </c>
      <c r="H30" s="105">
        <v>43431.99</v>
      </c>
      <c r="I30" s="105"/>
      <c r="J30" s="105">
        <v>3935.31</v>
      </c>
      <c r="K30" s="105">
        <v>3572.37</v>
      </c>
      <c r="L30" s="105">
        <f t="shared" si="0"/>
        <v>35113.089999999997</v>
      </c>
      <c r="M30" s="105">
        <v>5273.58</v>
      </c>
      <c r="N30" s="105">
        <v>10824.77</v>
      </c>
      <c r="O30" s="105">
        <f t="shared" si="1"/>
        <v>10824.77</v>
      </c>
      <c r="P30" s="104" t="s">
        <v>346</v>
      </c>
      <c r="Q30" s="105">
        <v>29839.51</v>
      </c>
      <c r="R30" s="105">
        <v>27333.64</v>
      </c>
      <c r="S30" s="105">
        <v>23761.27</v>
      </c>
      <c r="T30" s="107">
        <v>0.63770000000000004</v>
      </c>
      <c r="U30" s="105">
        <v>23398.33</v>
      </c>
      <c r="V30" s="107">
        <v>0.53869999999999996</v>
      </c>
      <c r="W30" s="108">
        <v>0.36</v>
      </c>
    </row>
    <row r="31" spans="1:23" hidden="1" x14ac:dyDescent="0.25">
      <c r="A31" s="102">
        <v>13122</v>
      </c>
      <c r="B31" s="101" t="s">
        <v>74</v>
      </c>
      <c r="C31" s="101" t="s">
        <v>274</v>
      </c>
      <c r="D31" s="141">
        <v>46127</v>
      </c>
      <c r="E31" s="101" t="s">
        <v>347</v>
      </c>
      <c r="F31" s="101" t="s">
        <v>21</v>
      </c>
      <c r="G31" s="111">
        <v>1</v>
      </c>
      <c r="H31" s="105">
        <v>51618.73</v>
      </c>
      <c r="I31" s="105"/>
      <c r="J31" s="105">
        <v>6603.07</v>
      </c>
      <c r="K31" s="105">
        <v>5691.27</v>
      </c>
      <c r="L31" s="105">
        <f t="shared" si="0"/>
        <v>0</v>
      </c>
      <c r="M31" s="105">
        <v>0</v>
      </c>
      <c r="N31" s="105">
        <v>34007.910000000003</v>
      </c>
      <c r="O31" s="105">
        <f t="shared" si="1"/>
        <v>34007.910000000003</v>
      </c>
      <c r="P31" s="105">
        <v>17610.82</v>
      </c>
      <c r="Q31" s="105">
        <v>0</v>
      </c>
      <c r="R31" s="105">
        <v>17610.82</v>
      </c>
      <c r="S31" s="105">
        <v>11919.55</v>
      </c>
      <c r="T31" s="107">
        <v>0.35880000000000001</v>
      </c>
      <c r="U31" s="105">
        <v>11007.75</v>
      </c>
      <c r="V31" s="107">
        <v>0.21329999999999999</v>
      </c>
      <c r="W31" s="108">
        <v>0.3</v>
      </c>
    </row>
    <row r="32" spans="1:23" x14ac:dyDescent="0.25">
      <c r="A32" s="102">
        <v>13114</v>
      </c>
      <c r="B32" s="101" t="s">
        <v>18</v>
      </c>
      <c r="C32" s="101" t="s">
        <v>19</v>
      </c>
      <c r="D32" s="141">
        <v>46128</v>
      </c>
      <c r="E32" s="101" t="s">
        <v>348</v>
      </c>
      <c r="F32" s="101" t="s">
        <v>21</v>
      </c>
      <c r="G32" s="111">
        <v>1</v>
      </c>
      <c r="H32" s="105">
        <v>69357.45</v>
      </c>
      <c r="I32" s="105"/>
      <c r="J32" s="105">
        <v>8185.82</v>
      </c>
      <c r="K32" s="105">
        <v>6507.04</v>
      </c>
      <c r="L32" s="105">
        <f t="shared" si="0"/>
        <v>21025.8</v>
      </c>
      <c r="M32" s="105">
        <v>15831.97</v>
      </c>
      <c r="N32" s="105">
        <v>18327.07</v>
      </c>
      <c r="O32" s="105">
        <f t="shared" si="1"/>
        <v>18327.07</v>
      </c>
      <c r="P32" s="105">
        <v>30004.58</v>
      </c>
      <c r="Q32" s="105">
        <v>5193.83</v>
      </c>
      <c r="R32" s="105">
        <v>35026.93</v>
      </c>
      <c r="S32" s="105">
        <v>28519.89</v>
      </c>
      <c r="T32" s="107">
        <v>0.5292</v>
      </c>
      <c r="U32" s="105">
        <v>26841.11</v>
      </c>
      <c r="V32" s="107">
        <v>0.38700000000000001</v>
      </c>
      <c r="W32" s="108">
        <v>0.35</v>
      </c>
    </row>
    <row r="33" spans="1:23" hidden="1" x14ac:dyDescent="0.25">
      <c r="A33" s="102">
        <v>13094</v>
      </c>
      <c r="B33" s="101" t="s">
        <v>24</v>
      </c>
      <c r="C33" s="101" t="s">
        <v>78</v>
      </c>
      <c r="D33" s="141">
        <v>46120</v>
      </c>
      <c r="E33" s="101" t="s">
        <v>349</v>
      </c>
      <c r="F33" s="101" t="s">
        <v>21</v>
      </c>
      <c r="G33" s="111">
        <v>1</v>
      </c>
      <c r="H33" s="105">
        <v>80001.600000000006</v>
      </c>
      <c r="I33" s="105"/>
      <c r="J33" s="105">
        <v>8477.11</v>
      </c>
      <c r="K33" s="105">
        <v>8999.43</v>
      </c>
      <c r="L33" s="105">
        <f t="shared" si="0"/>
        <v>0</v>
      </c>
      <c r="M33" s="105">
        <v>0</v>
      </c>
      <c r="N33" s="105">
        <v>60340.89</v>
      </c>
      <c r="O33" s="105">
        <f t="shared" si="1"/>
        <v>60340.89</v>
      </c>
      <c r="P33" s="105">
        <v>19660.71</v>
      </c>
      <c r="Q33" s="105">
        <v>0</v>
      </c>
      <c r="R33" s="105">
        <v>19660.71</v>
      </c>
      <c r="S33" s="105">
        <v>10661.28</v>
      </c>
      <c r="T33" s="107">
        <v>0.1333</v>
      </c>
      <c r="U33" s="105">
        <v>10661.28</v>
      </c>
      <c r="V33" s="107">
        <v>0.1333</v>
      </c>
      <c r="W33" s="108">
        <v>0.41</v>
      </c>
    </row>
    <row r="34" spans="1:23" hidden="1" x14ac:dyDescent="0.25">
      <c r="A34" s="102">
        <v>13082</v>
      </c>
      <c r="B34" s="101" t="s">
        <v>24</v>
      </c>
      <c r="C34" s="101" t="s">
        <v>350</v>
      </c>
      <c r="D34" s="141">
        <v>46129</v>
      </c>
      <c r="E34" s="101" t="s">
        <v>351</v>
      </c>
      <c r="F34" s="101" t="s">
        <v>21</v>
      </c>
      <c r="G34" s="111">
        <v>1</v>
      </c>
      <c r="H34" s="105">
        <v>3648.32</v>
      </c>
      <c r="I34" s="105"/>
      <c r="J34" s="105">
        <v>398.34</v>
      </c>
      <c r="K34" s="105">
        <v>303.04000000000002</v>
      </c>
      <c r="L34" s="105">
        <f t="shared" si="0"/>
        <v>0</v>
      </c>
      <c r="M34" s="105">
        <v>0</v>
      </c>
      <c r="N34" s="105">
        <v>408</v>
      </c>
      <c r="O34" s="105">
        <f t="shared" si="1"/>
        <v>408</v>
      </c>
      <c r="P34" s="105">
        <v>3240.32</v>
      </c>
      <c r="Q34" s="105">
        <v>0</v>
      </c>
      <c r="R34" s="105">
        <v>3238.57</v>
      </c>
      <c r="S34" s="105">
        <v>2935.53</v>
      </c>
      <c r="T34" s="107">
        <v>0.91379999999999995</v>
      </c>
      <c r="U34" s="105">
        <v>2840.23</v>
      </c>
      <c r="V34" s="107">
        <v>0.77849999999999997</v>
      </c>
      <c r="W34" s="108">
        <v>0</v>
      </c>
    </row>
    <row r="35" spans="1:23" hidden="1" x14ac:dyDescent="0.25">
      <c r="A35" s="102">
        <v>13075</v>
      </c>
      <c r="B35" s="101" t="s">
        <v>24</v>
      </c>
      <c r="C35" s="101" t="s">
        <v>250</v>
      </c>
      <c r="D35" s="141">
        <v>46133</v>
      </c>
      <c r="E35" s="101" t="s">
        <v>352</v>
      </c>
      <c r="F35" s="101" t="s">
        <v>21</v>
      </c>
      <c r="G35" s="111">
        <v>1</v>
      </c>
      <c r="H35" s="105">
        <v>34272.99</v>
      </c>
      <c r="I35" s="105"/>
      <c r="J35" s="105">
        <v>5341.41</v>
      </c>
      <c r="K35" s="105">
        <v>4940.63</v>
      </c>
      <c r="L35" s="105">
        <f t="shared" si="0"/>
        <v>15784.68</v>
      </c>
      <c r="M35" s="105">
        <v>8060.55</v>
      </c>
      <c r="N35" s="105">
        <v>10924.42</v>
      </c>
      <c r="O35" s="105">
        <f t="shared" si="1"/>
        <v>10924.42</v>
      </c>
      <c r="P35" s="105">
        <v>7563.89</v>
      </c>
      <c r="Q35" s="105">
        <v>7724.13</v>
      </c>
      <c r="R35" s="105">
        <v>14709.75</v>
      </c>
      <c r="S35" s="105">
        <v>9769.1200000000008</v>
      </c>
      <c r="T35" s="107">
        <v>0.44090000000000001</v>
      </c>
      <c r="U35" s="105">
        <v>9368.34</v>
      </c>
      <c r="V35" s="107">
        <v>0.27329999999999999</v>
      </c>
      <c r="W35" s="108">
        <v>0.4</v>
      </c>
    </row>
    <row r="36" spans="1:23" hidden="1" x14ac:dyDescent="0.25">
      <c r="A36" s="102">
        <v>13062</v>
      </c>
      <c r="B36" s="101" t="s">
        <v>50</v>
      </c>
      <c r="C36" s="101" t="s">
        <v>51</v>
      </c>
      <c r="D36" s="141">
        <v>46121</v>
      </c>
      <c r="E36" s="101" t="s">
        <v>353</v>
      </c>
      <c r="F36" s="101" t="s">
        <v>21</v>
      </c>
      <c r="G36" s="111">
        <v>1</v>
      </c>
      <c r="H36" s="105">
        <v>15678.4</v>
      </c>
      <c r="I36" s="105"/>
      <c r="J36" s="105">
        <v>1817.84</v>
      </c>
      <c r="K36" s="105">
        <v>1284.3499999999999</v>
      </c>
      <c r="L36" s="105">
        <f t="shared" si="0"/>
        <v>0</v>
      </c>
      <c r="M36" s="105">
        <v>0</v>
      </c>
      <c r="N36" s="105">
        <v>6464.66</v>
      </c>
      <c r="O36" s="105">
        <f t="shared" si="1"/>
        <v>6464.66</v>
      </c>
      <c r="P36" s="105">
        <v>9213.74</v>
      </c>
      <c r="Q36" s="105">
        <v>0</v>
      </c>
      <c r="R36" s="105">
        <v>9213.74</v>
      </c>
      <c r="S36" s="105">
        <v>7929.39</v>
      </c>
      <c r="T36" s="107">
        <v>0.62170000000000003</v>
      </c>
      <c r="U36" s="105">
        <v>7395.9</v>
      </c>
      <c r="V36" s="107">
        <v>0.47170000000000001</v>
      </c>
      <c r="W36" s="108">
        <v>0.6</v>
      </c>
    </row>
    <row r="37" spans="1:23" hidden="1" x14ac:dyDescent="0.25">
      <c r="A37" s="102">
        <v>13049</v>
      </c>
      <c r="B37" s="101" t="s">
        <v>24</v>
      </c>
      <c r="C37" s="101" t="s">
        <v>59</v>
      </c>
      <c r="D37" s="141">
        <v>46118</v>
      </c>
      <c r="E37" s="101" t="s">
        <v>354</v>
      </c>
      <c r="F37" s="101" t="s">
        <v>21</v>
      </c>
      <c r="G37" s="111">
        <v>1</v>
      </c>
      <c r="H37" s="105">
        <v>8416.39</v>
      </c>
      <c r="I37" s="105"/>
      <c r="J37" s="105">
        <v>1008.14</v>
      </c>
      <c r="K37" s="105">
        <v>1039.8900000000001</v>
      </c>
      <c r="L37" s="105">
        <f t="shared" si="0"/>
        <v>0</v>
      </c>
      <c r="M37" s="105">
        <v>0</v>
      </c>
      <c r="N37" s="105">
        <v>4157.29</v>
      </c>
      <c r="O37" s="105">
        <f t="shared" si="1"/>
        <v>4157.29</v>
      </c>
      <c r="P37" s="105">
        <v>4259.1000000000004</v>
      </c>
      <c r="Q37" s="105">
        <v>0</v>
      </c>
      <c r="R37" s="105">
        <v>3627.86</v>
      </c>
      <c r="S37" s="105">
        <v>2587.9699999999998</v>
      </c>
      <c r="T37" s="107">
        <v>0.3075</v>
      </c>
      <c r="U37" s="105">
        <v>2587.9699999999998</v>
      </c>
      <c r="V37" s="107">
        <v>0.3075</v>
      </c>
      <c r="W37" s="108">
        <v>0</v>
      </c>
    </row>
    <row r="38" spans="1:23" hidden="1" x14ac:dyDescent="0.25">
      <c r="A38" s="102">
        <v>13037</v>
      </c>
      <c r="B38" s="101" t="s">
        <v>74</v>
      </c>
      <c r="C38" s="101" t="s">
        <v>274</v>
      </c>
      <c r="D38" s="141">
        <v>46120</v>
      </c>
      <c r="E38" s="101" t="s">
        <v>355</v>
      </c>
      <c r="F38" s="101" t="s">
        <v>21</v>
      </c>
      <c r="G38" s="111">
        <v>1</v>
      </c>
      <c r="H38" s="105">
        <v>150919.65</v>
      </c>
      <c r="I38" s="105"/>
      <c r="J38" s="105">
        <v>12133.21</v>
      </c>
      <c r="K38" s="105">
        <v>11091.85</v>
      </c>
      <c r="L38" s="105">
        <v>0</v>
      </c>
      <c r="M38" s="105">
        <v>4193.79</v>
      </c>
      <c r="N38" s="105">
        <v>62257.19</v>
      </c>
      <c r="O38" s="105">
        <f t="shared" si="1"/>
        <v>62257.19</v>
      </c>
      <c r="P38" s="105">
        <v>88662.46</v>
      </c>
      <c r="Q38" s="104" t="s">
        <v>356</v>
      </c>
      <c r="R38" s="105">
        <v>84468.67</v>
      </c>
      <c r="S38" s="105">
        <v>73376.820000000007</v>
      </c>
      <c r="T38" s="107">
        <v>0.56659999999999999</v>
      </c>
      <c r="U38" s="105">
        <v>72335.460000000006</v>
      </c>
      <c r="V38" s="107">
        <v>0.4793</v>
      </c>
      <c r="W38" s="108">
        <v>0.5</v>
      </c>
    </row>
    <row r="39" spans="1:23" hidden="1" x14ac:dyDescent="0.25">
      <c r="A39" s="102">
        <v>13014</v>
      </c>
      <c r="B39" s="101" t="s">
        <v>24</v>
      </c>
      <c r="C39" s="101" t="s">
        <v>59</v>
      </c>
      <c r="D39" s="141">
        <v>46133</v>
      </c>
      <c r="E39" s="101" t="s">
        <v>357</v>
      </c>
      <c r="F39" s="101" t="s">
        <v>21</v>
      </c>
      <c r="G39" s="111">
        <v>1</v>
      </c>
      <c r="H39" s="105">
        <v>93954.5</v>
      </c>
      <c r="I39" s="105"/>
      <c r="J39" s="105">
        <v>9087.2800000000007</v>
      </c>
      <c r="K39" s="105">
        <v>11715.32</v>
      </c>
      <c r="L39" s="105">
        <f t="shared" si="0"/>
        <v>0</v>
      </c>
      <c r="M39" s="105">
        <v>0</v>
      </c>
      <c r="N39" s="105">
        <v>60343.76</v>
      </c>
      <c r="O39" s="105">
        <f t="shared" si="1"/>
        <v>60343.76</v>
      </c>
      <c r="P39" s="105">
        <v>33610.74</v>
      </c>
      <c r="Q39" s="105">
        <v>0</v>
      </c>
      <c r="R39" s="105">
        <v>33610.74</v>
      </c>
      <c r="S39" s="105">
        <v>21895.42</v>
      </c>
      <c r="T39" s="107">
        <v>0.23300000000000001</v>
      </c>
      <c r="U39" s="105">
        <v>21895.42</v>
      </c>
      <c r="V39" s="107">
        <v>0.23300000000000001</v>
      </c>
      <c r="W39" s="108">
        <v>0</v>
      </c>
    </row>
    <row r="40" spans="1:23" hidden="1" x14ac:dyDescent="0.25">
      <c r="A40" s="102">
        <v>12901</v>
      </c>
      <c r="B40" s="101" t="s">
        <v>24</v>
      </c>
      <c r="C40" s="101" t="s">
        <v>59</v>
      </c>
      <c r="D40" s="141">
        <v>46142</v>
      </c>
      <c r="E40" s="101" t="s">
        <v>358</v>
      </c>
      <c r="F40" s="101" t="s">
        <v>21</v>
      </c>
      <c r="G40" s="111">
        <v>1</v>
      </c>
      <c r="H40" s="105">
        <v>33533.370000000003</v>
      </c>
      <c r="I40" s="105"/>
      <c r="J40" s="105">
        <v>3404.13</v>
      </c>
      <c r="K40" s="105">
        <v>2178.59</v>
      </c>
      <c r="L40" s="105">
        <f t="shared" si="0"/>
        <v>0</v>
      </c>
      <c r="M40" s="105">
        <v>0</v>
      </c>
      <c r="N40" s="105">
        <v>10150.450000000001</v>
      </c>
      <c r="O40" s="105">
        <f t="shared" si="1"/>
        <v>10150.450000000001</v>
      </c>
      <c r="P40" s="105">
        <v>23382.92</v>
      </c>
      <c r="Q40" s="105">
        <v>0</v>
      </c>
      <c r="R40" s="105">
        <v>23382.92</v>
      </c>
      <c r="S40" s="105">
        <v>21204.33</v>
      </c>
      <c r="T40" s="107">
        <v>0.73380000000000001</v>
      </c>
      <c r="U40" s="105">
        <v>19978.79</v>
      </c>
      <c r="V40" s="107">
        <v>0.5958</v>
      </c>
      <c r="W40" s="108">
        <v>0</v>
      </c>
    </row>
    <row r="41" spans="1:23" hidden="1" x14ac:dyDescent="0.25">
      <c r="A41" s="102">
        <v>12846</v>
      </c>
      <c r="B41" s="101" t="s">
        <v>24</v>
      </c>
      <c r="C41" s="101" t="s">
        <v>59</v>
      </c>
      <c r="D41" s="141">
        <v>46120</v>
      </c>
      <c r="E41" s="101" t="s">
        <v>359</v>
      </c>
      <c r="F41" s="101" t="s">
        <v>21</v>
      </c>
      <c r="G41" s="111">
        <v>1</v>
      </c>
      <c r="H41" s="105">
        <v>33823.620000000003</v>
      </c>
      <c r="I41" s="105"/>
      <c r="J41" s="105">
        <v>3431.42</v>
      </c>
      <c r="K41" s="105">
        <v>3322.85</v>
      </c>
      <c r="L41" s="105">
        <f t="shared" si="0"/>
        <v>0</v>
      </c>
      <c r="M41" s="105">
        <v>0</v>
      </c>
      <c r="N41" s="105">
        <v>16172.91</v>
      </c>
      <c r="O41" s="105">
        <f t="shared" si="1"/>
        <v>16172.91</v>
      </c>
      <c r="P41" s="105">
        <v>17650.71</v>
      </c>
      <c r="Q41" s="105">
        <v>0</v>
      </c>
      <c r="R41" s="105">
        <v>13507.79</v>
      </c>
      <c r="S41" s="105">
        <v>10184.94</v>
      </c>
      <c r="T41" s="107">
        <v>0.40260000000000001</v>
      </c>
      <c r="U41" s="105">
        <v>10076.370000000001</v>
      </c>
      <c r="V41" s="107">
        <v>0.2979</v>
      </c>
      <c r="W41" s="108">
        <v>0</v>
      </c>
    </row>
    <row r="42" spans="1:23" x14ac:dyDescent="0.25">
      <c r="A42" s="102">
        <v>12754</v>
      </c>
      <c r="B42" s="101" t="s">
        <v>18</v>
      </c>
      <c r="C42" s="101" t="s">
        <v>101</v>
      </c>
      <c r="D42" s="141">
        <v>46140</v>
      </c>
      <c r="E42" s="101" t="s">
        <v>360</v>
      </c>
      <c r="F42" s="101" t="s">
        <v>21</v>
      </c>
      <c r="G42" s="111">
        <v>1</v>
      </c>
      <c r="H42" s="105">
        <v>72776.3</v>
      </c>
      <c r="I42" s="105"/>
      <c r="J42" s="105">
        <v>8343.31</v>
      </c>
      <c r="K42" s="105">
        <v>9048.34</v>
      </c>
      <c r="L42" s="105">
        <f t="shared" si="0"/>
        <v>24317.519999999997</v>
      </c>
      <c r="M42" s="105">
        <v>16781.439999999999</v>
      </c>
      <c r="N42" s="105">
        <v>32964.04</v>
      </c>
      <c r="O42" s="105">
        <f t="shared" si="1"/>
        <v>32964.04</v>
      </c>
      <c r="P42" s="105">
        <v>15494.74</v>
      </c>
      <c r="Q42" s="105">
        <v>7536.08</v>
      </c>
      <c r="R42" s="105">
        <v>23030.82</v>
      </c>
      <c r="S42" s="105">
        <v>13982.48</v>
      </c>
      <c r="T42" s="107">
        <v>0.19209999999999999</v>
      </c>
      <c r="U42" s="105">
        <v>13982.48</v>
      </c>
      <c r="V42" s="107">
        <v>0.19209999999999999</v>
      </c>
      <c r="W42" s="108">
        <v>0.41</v>
      </c>
    </row>
    <row r="43" spans="1:23" x14ac:dyDescent="0.25">
      <c r="A43" s="102">
        <v>12718</v>
      </c>
      <c r="B43" s="101" t="s">
        <v>18</v>
      </c>
      <c r="C43" s="101" t="s">
        <v>101</v>
      </c>
      <c r="D43" s="141">
        <v>46134</v>
      </c>
      <c r="E43" s="101" t="s">
        <v>361</v>
      </c>
      <c r="F43" s="101" t="s">
        <v>21</v>
      </c>
      <c r="G43" s="111">
        <v>1</v>
      </c>
      <c r="H43" s="105">
        <v>95315.9</v>
      </c>
      <c r="I43" s="105"/>
      <c r="J43" s="105">
        <v>10903.23</v>
      </c>
      <c r="K43" s="105">
        <v>7493.54</v>
      </c>
      <c r="L43" s="105">
        <f t="shared" si="0"/>
        <v>36476.28</v>
      </c>
      <c r="M43" s="105">
        <v>4195.3599999999997</v>
      </c>
      <c r="N43" s="105">
        <v>39765.760000000002</v>
      </c>
      <c r="O43" s="105">
        <f t="shared" si="1"/>
        <v>39765.760000000002</v>
      </c>
      <c r="P43" s="105">
        <v>19073.86</v>
      </c>
      <c r="Q43" s="105">
        <v>32280.92</v>
      </c>
      <c r="R43" s="105">
        <v>51354.78</v>
      </c>
      <c r="S43" s="105">
        <v>43861.24</v>
      </c>
      <c r="T43" s="107">
        <v>0.5746</v>
      </c>
      <c r="U43" s="105">
        <v>40451.550000000003</v>
      </c>
      <c r="V43" s="107">
        <v>0.4244</v>
      </c>
      <c r="W43" s="108">
        <v>0.46</v>
      </c>
    </row>
    <row r="44" spans="1:23" hidden="1" x14ac:dyDescent="0.25">
      <c r="A44" s="102">
        <v>12595</v>
      </c>
      <c r="B44" s="101" t="s">
        <v>24</v>
      </c>
      <c r="C44" s="101" t="s">
        <v>59</v>
      </c>
      <c r="D44" s="141">
        <v>46141</v>
      </c>
      <c r="E44" s="101" t="s">
        <v>362</v>
      </c>
      <c r="F44" s="101" t="s">
        <v>21</v>
      </c>
      <c r="G44" s="111">
        <v>1</v>
      </c>
      <c r="H44" s="105">
        <v>195871.24</v>
      </c>
      <c r="I44" s="105"/>
      <c r="J44" s="105">
        <v>20198.41</v>
      </c>
      <c r="K44" s="105">
        <v>19894.41</v>
      </c>
      <c r="L44" s="105">
        <f t="shared" si="0"/>
        <v>136670.08000000002</v>
      </c>
      <c r="M44" s="105">
        <v>26979.11</v>
      </c>
      <c r="N44" s="105">
        <v>44312.82</v>
      </c>
      <c r="O44" s="105">
        <f t="shared" si="1"/>
        <v>44312.82</v>
      </c>
      <c r="P44" s="105">
        <v>14888.34</v>
      </c>
      <c r="Q44" s="105">
        <v>109690.97</v>
      </c>
      <c r="R44" s="105">
        <v>124579.31</v>
      </c>
      <c r="S44" s="105">
        <v>104684.9</v>
      </c>
      <c r="T44" s="107">
        <v>0.63759999999999994</v>
      </c>
      <c r="U44" s="105">
        <v>104380.9</v>
      </c>
      <c r="V44" s="107">
        <v>0.53290000000000004</v>
      </c>
      <c r="W44" s="108">
        <v>0.6</v>
      </c>
    </row>
    <row r="45" spans="1:23" x14ac:dyDescent="0.25">
      <c r="A45" s="102">
        <v>12511</v>
      </c>
      <c r="B45" s="101" t="s">
        <v>18</v>
      </c>
      <c r="C45" s="101" t="s">
        <v>117</v>
      </c>
      <c r="D45" s="141">
        <v>46119</v>
      </c>
      <c r="E45" s="101" t="s">
        <v>363</v>
      </c>
      <c r="F45" s="101" t="s">
        <v>21</v>
      </c>
      <c r="G45" s="111">
        <v>1</v>
      </c>
      <c r="H45" s="105">
        <v>170421.75</v>
      </c>
      <c r="I45" s="105"/>
      <c r="J45" s="105">
        <v>17137.77</v>
      </c>
      <c r="K45" s="105">
        <v>15121.31</v>
      </c>
      <c r="L45" s="105">
        <f t="shared" si="0"/>
        <v>71857.64</v>
      </c>
      <c r="M45" s="105">
        <v>41546.800000000003</v>
      </c>
      <c r="N45" s="105">
        <v>38415.519999999997</v>
      </c>
      <c r="O45" s="105">
        <f t="shared" si="1"/>
        <v>38415.519999999997</v>
      </c>
      <c r="P45" s="105">
        <v>60148.59</v>
      </c>
      <c r="Q45" s="105">
        <v>30310.84</v>
      </c>
      <c r="R45" s="105">
        <v>90415.11</v>
      </c>
      <c r="S45" s="105">
        <v>75293.8</v>
      </c>
      <c r="T45" s="107">
        <v>0.54239999999999999</v>
      </c>
      <c r="U45" s="105">
        <v>73277.34</v>
      </c>
      <c r="V45" s="107">
        <v>0.43</v>
      </c>
      <c r="W45" s="108">
        <v>0.6</v>
      </c>
    </row>
    <row r="46" spans="1:23" x14ac:dyDescent="0.25">
      <c r="A46" s="102">
        <v>11552</v>
      </c>
      <c r="B46" s="101" t="s">
        <v>18</v>
      </c>
      <c r="C46" s="101" t="s">
        <v>101</v>
      </c>
      <c r="D46" s="141">
        <v>46139</v>
      </c>
      <c r="E46" s="101" t="s">
        <v>364</v>
      </c>
      <c r="F46" s="101" t="s">
        <v>123</v>
      </c>
      <c r="G46" s="111">
        <v>20.338799999999999</v>
      </c>
      <c r="H46" s="105">
        <v>4280.09</v>
      </c>
      <c r="I46" s="105">
        <f>+G46*H46</f>
        <v>87051.894491999992</v>
      </c>
      <c r="J46" s="105">
        <v>451.05</v>
      </c>
      <c r="K46" s="105">
        <v>536.64</v>
      </c>
      <c r="L46" s="105">
        <f t="shared" si="0"/>
        <v>1855.1</v>
      </c>
      <c r="M46" s="105">
        <v>1287.77</v>
      </c>
      <c r="N46" s="105">
        <v>1587.01</v>
      </c>
      <c r="O46" s="105">
        <f t="shared" si="1"/>
        <v>32277.878987999997</v>
      </c>
      <c r="P46" s="105">
        <v>837.98</v>
      </c>
      <c r="Q46" s="105">
        <v>567.33000000000004</v>
      </c>
      <c r="R46" s="105">
        <v>1405.25</v>
      </c>
      <c r="S46" s="105">
        <v>868.61</v>
      </c>
      <c r="T46" s="107">
        <v>0.2029</v>
      </c>
      <c r="U46" s="105">
        <v>868.61</v>
      </c>
      <c r="V46" s="107">
        <v>0.2029</v>
      </c>
      <c r="W46" s="108">
        <v>0.39</v>
      </c>
    </row>
    <row r="47" spans="1:23" x14ac:dyDescent="0.25">
      <c r="G47" s="112">
        <f>AVERAGE(G2:G46)</f>
        <v>1.429751111111111</v>
      </c>
      <c r="H47" s="173" t="s">
        <v>417</v>
      </c>
      <c r="I47" s="177">
        <v>87051.894491999992</v>
      </c>
      <c r="L47" s="106">
        <f>SUBTOTAL(9,L2:L46)</f>
        <v>197207.86000000002</v>
      </c>
      <c r="N47" s="106">
        <f>SUBTOTAL(9,N2:N46)</f>
        <v>206077.71000000002</v>
      </c>
      <c r="O47" s="115">
        <f>SUM(O2:O46)</f>
        <v>788704.19898799993</v>
      </c>
      <c r="P47" s="106">
        <f>SUBTOTAL(9,P2:P46)</f>
        <v>158799.63000000003</v>
      </c>
    </row>
    <row r="51" spans="3:9" x14ac:dyDescent="0.25">
      <c r="C51" s="43">
        <v>17.696899999999999</v>
      </c>
      <c r="D51" s="44" t="s">
        <v>228</v>
      </c>
      <c r="E51" s="44" t="s">
        <v>123</v>
      </c>
    </row>
    <row r="52" spans="3:9" x14ac:dyDescent="0.25">
      <c r="C52" s="30" t="s">
        <v>229</v>
      </c>
      <c r="D52" s="142">
        <v>465711.32</v>
      </c>
      <c r="E52" s="56">
        <v>1855.1</v>
      </c>
    </row>
    <row r="53" spans="3:9" x14ac:dyDescent="0.25">
      <c r="C53" s="30" t="s">
        <v>230</v>
      </c>
      <c r="D53" s="142">
        <v>489882.88</v>
      </c>
      <c r="E53" s="56">
        <v>837.98</v>
      </c>
    </row>
    <row r="54" spans="3:9" x14ac:dyDescent="0.25">
      <c r="C54" s="30"/>
      <c r="D54" s="33">
        <f>+D53+D52</f>
        <v>955594.2</v>
      </c>
      <c r="E54" s="34">
        <f>+(E52+E53)*C51</f>
        <v>47659.167451999994</v>
      </c>
    </row>
    <row r="55" spans="3:9" x14ac:dyDescent="0.25">
      <c r="C55" s="35" t="s">
        <v>225</v>
      </c>
      <c r="D55" s="36">
        <f>+D54+E54</f>
        <v>1003253.3674519999</v>
      </c>
      <c r="E55" s="37"/>
    </row>
    <row r="56" spans="3:9" x14ac:dyDescent="0.25">
      <c r="C56" s="30" t="s">
        <v>231</v>
      </c>
      <c r="D56" s="33">
        <v>1219130.53</v>
      </c>
      <c r="E56" s="37"/>
    </row>
    <row r="57" spans="3:9" x14ac:dyDescent="0.25">
      <c r="C57" s="38" t="s">
        <v>232</v>
      </c>
      <c r="D57" s="39">
        <f>+D55-D56</f>
        <v>-215877.16254800011</v>
      </c>
      <c r="E57" s="40"/>
    </row>
    <row r="61" spans="3:9" x14ac:dyDescent="0.25">
      <c r="E61" s="115" t="s">
        <v>1</v>
      </c>
      <c r="F61" s="106" t="s">
        <v>21</v>
      </c>
      <c r="G61" s="106" t="s">
        <v>123</v>
      </c>
      <c r="H61" s="106" t="s">
        <v>141</v>
      </c>
    </row>
    <row r="62" spans="3:9" x14ac:dyDescent="0.25">
      <c r="E62" s="106" t="s">
        <v>50</v>
      </c>
      <c r="F62" s="144">
        <v>43494.83</v>
      </c>
      <c r="G62" s="144">
        <v>0</v>
      </c>
      <c r="H62" s="144">
        <v>43494.83</v>
      </c>
      <c r="I62" s="144"/>
    </row>
    <row r="63" spans="3:9" x14ac:dyDescent="0.25">
      <c r="E63" s="106" t="s">
        <v>18</v>
      </c>
      <c r="F63" s="144">
        <v>557805.11</v>
      </c>
      <c r="G63" s="144">
        <v>4280.09</v>
      </c>
      <c r="H63" s="144">
        <v>633549.43472100003</v>
      </c>
      <c r="I63" s="144"/>
    </row>
    <row r="64" spans="3:9" x14ac:dyDescent="0.25">
      <c r="E64" s="106" t="s">
        <v>33</v>
      </c>
      <c r="F64" s="144">
        <v>178360.14</v>
      </c>
      <c r="G64" s="144">
        <v>0</v>
      </c>
      <c r="H64" s="144">
        <v>178360.14</v>
      </c>
      <c r="I64" s="144"/>
    </row>
    <row r="65" spans="5:9" x14ac:dyDescent="0.25">
      <c r="E65" s="106" t="s">
        <v>74</v>
      </c>
      <c r="F65" s="144">
        <v>217248.35</v>
      </c>
      <c r="G65" s="144">
        <v>0</v>
      </c>
      <c r="H65" s="144">
        <v>217248.35</v>
      </c>
      <c r="I65" s="144"/>
    </row>
    <row r="66" spans="5:9" x14ac:dyDescent="0.25">
      <c r="E66" s="106" t="s">
        <v>24</v>
      </c>
      <c r="F66" s="144">
        <v>675669.69</v>
      </c>
      <c r="G66" s="144">
        <v>0</v>
      </c>
      <c r="H66" s="144">
        <v>675669.69</v>
      </c>
      <c r="I66" s="144"/>
    </row>
    <row r="67" spans="5:9" x14ac:dyDescent="0.25">
      <c r="E67" s="106" t="s">
        <v>316</v>
      </c>
      <c r="F67" s="144">
        <v>32533.559999999998</v>
      </c>
      <c r="G67" s="144">
        <v>0</v>
      </c>
      <c r="H67" s="144">
        <v>32533.559999999998</v>
      </c>
      <c r="I67" s="144"/>
    </row>
    <row r="68" spans="5:9" x14ac:dyDescent="0.25">
      <c r="E68" s="106" t="s">
        <v>366</v>
      </c>
      <c r="F68" s="144">
        <v>1705111.68</v>
      </c>
      <c r="G68" s="144">
        <v>4280.09</v>
      </c>
      <c r="H68" s="144">
        <v>1780856.0047209999</v>
      </c>
      <c r="I68" s="144"/>
    </row>
    <row r="69" spans="5:9" x14ac:dyDescent="0.25">
      <c r="E69" s="145" t="s">
        <v>368</v>
      </c>
      <c r="F69" s="144">
        <v>756426.32</v>
      </c>
      <c r="G69" s="144">
        <v>1587.01</v>
      </c>
      <c r="H69" s="144">
        <f>+F69+G69*C51</f>
        <v>784511.47726899991</v>
      </c>
      <c r="I69" s="144"/>
    </row>
    <row r="70" spans="5:9" x14ac:dyDescent="0.25">
      <c r="E70" s="106"/>
      <c r="F70" s="106"/>
      <c r="G70" s="106"/>
      <c r="H70" s="146">
        <f>+H68-H69</f>
        <v>996344.52745199995</v>
      </c>
      <c r="I70" s="146"/>
    </row>
  </sheetData>
  <autoFilter ref="A1:W46" xr:uid="{065A736E-F6E0-4C48-8130-B913389D3D63}">
    <filterColumn colId="1">
      <filters>
        <filter val="CELESTE LAND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BE57-6C17-4D87-B36A-3DB604C88F7B}">
  <sheetPr filterMode="1"/>
  <dimension ref="A1:X33"/>
  <sheetViews>
    <sheetView zoomScale="70" zoomScaleNormal="70" workbookViewId="0">
      <selection activeCell="J15" sqref="J15"/>
    </sheetView>
  </sheetViews>
  <sheetFormatPr baseColWidth="10" defaultRowHeight="13.8" x14ac:dyDescent="0.25"/>
  <cols>
    <col min="1" max="1" width="11.5546875" style="161"/>
    <col min="2" max="2" width="26.33203125" style="154" customWidth="1"/>
    <col min="3" max="3" width="22.44140625" style="154" customWidth="1"/>
    <col min="4" max="5" width="11.5546875" style="154"/>
    <col min="6" max="8" width="11.5546875" style="161"/>
    <col min="9" max="9" width="15.77734375" style="154" bestFit="1" customWidth="1"/>
    <col min="10" max="10" width="15.77734375" style="154" customWidth="1"/>
    <col min="11" max="11" width="17.21875" style="154" customWidth="1"/>
    <col min="12" max="13" width="11.5546875" style="154"/>
    <col min="14" max="15" width="14.77734375" style="154" customWidth="1"/>
    <col min="16" max="16" width="12.88671875" style="154" customWidth="1"/>
    <col min="17" max="19" width="11.5546875" style="154"/>
    <col min="20" max="20" width="16.5546875" style="154" customWidth="1"/>
    <col min="21" max="21" width="15.77734375" style="154" customWidth="1"/>
    <col min="22" max="16384" width="11.5546875" style="154"/>
  </cols>
  <sheetData>
    <row r="1" spans="1:24" ht="50.4" customHeight="1" x14ac:dyDescent="0.25">
      <c r="A1" s="110" t="s">
        <v>0</v>
      </c>
      <c r="B1" s="109" t="s">
        <v>1</v>
      </c>
      <c r="C1" s="109" t="s">
        <v>2</v>
      </c>
      <c r="D1" s="110" t="s">
        <v>3</v>
      </c>
      <c r="E1" s="109" t="s">
        <v>4</v>
      </c>
      <c r="F1" s="110" t="s">
        <v>5</v>
      </c>
      <c r="G1" s="110" t="s">
        <v>301</v>
      </c>
      <c r="H1" s="110"/>
      <c r="I1" s="162" t="s">
        <v>6</v>
      </c>
      <c r="J1" s="162"/>
      <c r="K1" s="162" t="s">
        <v>7</v>
      </c>
      <c r="L1" s="162" t="s">
        <v>8</v>
      </c>
      <c r="M1" s="163" t="s">
        <v>9</v>
      </c>
      <c r="N1" s="164" t="s">
        <v>10</v>
      </c>
      <c r="O1" s="164"/>
      <c r="P1" s="164" t="s">
        <v>11</v>
      </c>
      <c r="Q1" s="162" t="s">
        <v>12</v>
      </c>
      <c r="R1" s="162" t="s">
        <v>371</v>
      </c>
      <c r="S1" s="162" t="s">
        <v>13</v>
      </c>
      <c r="T1" s="162" t="s">
        <v>414</v>
      </c>
      <c r="U1" s="162" t="s">
        <v>15</v>
      </c>
      <c r="V1" s="162" t="s">
        <v>16</v>
      </c>
      <c r="W1" s="162" t="s">
        <v>17</v>
      </c>
      <c r="X1" s="162" t="s">
        <v>143</v>
      </c>
    </row>
    <row r="2" spans="1:24" hidden="1" x14ac:dyDescent="0.25">
      <c r="A2" s="160">
        <v>13462</v>
      </c>
      <c r="B2" s="156" t="s">
        <v>24</v>
      </c>
      <c r="C2" s="156" t="s">
        <v>323</v>
      </c>
      <c r="D2" s="157">
        <v>46170</v>
      </c>
      <c r="E2" s="156" t="s">
        <v>372</v>
      </c>
      <c r="F2" s="160" t="s">
        <v>21</v>
      </c>
      <c r="G2" s="165">
        <v>17.321300000000001</v>
      </c>
      <c r="H2" s="165">
        <v>1</v>
      </c>
      <c r="I2" s="167">
        <v>88.88</v>
      </c>
      <c r="J2" s="167">
        <f>+I2*H2</f>
        <v>88.88</v>
      </c>
      <c r="K2" s="167">
        <v>264.08</v>
      </c>
      <c r="L2" s="167">
        <v>1197.9100000000001</v>
      </c>
      <c r="M2" s="167">
        <v>4069.29</v>
      </c>
      <c r="N2" s="167">
        <v>583.49</v>
      </c>
      <c r="O2" s="167">
        <f>+H2*N2</f>
        <v>583.49</v>
      </c>
      <c r="P2" s="168" t="s">
        <v>373</v>
      </c>
      <c r="Q2" s="168" t="s">
        <v>374</v>
      </c>
      <c r="R2" s="168" t="s">
        <v>373</v>
      </c>
      <c r="S2" s="168" t="s">
        <v>375</v>
      </c>
      <c r="T2" s="168" t="s">
        <v>376</v>
      </c>
      <c r="U2" s="156" t="s">
        <v>377</v>
      </c>
      <c r="V2" s="156" t="s">
        <v>376</v>
      </c>
      <c r="W2" s="156" t="s">
        <v>377</v>
      </c>
      <c r="X2" s="155">
        <v>0.01</v>
      </c>
    </row>
    <row r="3" spans="1:24" hidden="1" x14ac:dyDescent="0.25">
      <c r="A3" s="160">
        <v>13454</v>
      </c>
      <c r="B3" s="156" t="s">
        <v>33</v>
      </c>
      <c r="C3" s="156" t="s">
        <v>67</v>
      </c>
      <c r="D3" s="157">
        <v>46170</v>
      </c>
      <c r="E3" s="156" t="s">
        <v>378</v>
      </c>
      <c r="F3" s="160" t="s">
        <v>21</v>
      </c>
      <c r="G3" s="165">
        <v>17.330500000000001</v>
      </c>
      <c r="H3" s="165">
        <v>1</v>
      </c>
      <c r="I3" s="167">
        <v>8670.4699999999993</v>
      </c>
      <c r="J3" s="167">
        <f t="shared" ref="J3:J27" si="0">+I3*H3</f>
        <v>8670.4699999999993</v>
      </c>
      <c r="K3" s="167">
        <v>1920.88</v>
      </c>
      <c r="L3" s="167">
        <v>1866.84</v>
      </c>
      <c r="M3" s="167">
        <v>2099.6999999999998</v>
      </c>
      <c r="N3" s="167">
        <v>2661.94</v>
      </c>
      <c r="O3" s="167">
        <f t="shared" ref="O3:O28" si="1">+H3*N3</f>
        <v>2661.94</v>
      </c>
      <c r="P3" s="167">
        <v>1382.85</v>
      </c>
      <c r="Q3" s="167">
        <v>2525.98</v>
      </c>
      <c r="R3" s="167">
        <v>6008.53</v>
      </c>
      <c r="S3" s="167">
        <v>3908.83</v>
      </c>
      <c r="T3" s="167">
        <v>2041.99</v>
      </c>
      <c r="U3" s="159">
        <v>0.45710000000000001</v>
      </c>
      <c r="V3" s="158">
        <v>1987.95</v>
      </c>
      <c r="W3" s="159">
        <v>0.2293</v>
      </c>
      <c r="X3" s="155">
        <v>0.35</v>
      </c>
    </row>
    <row r="4" spans="1:24" hidden="1" x14ac:dyDescent="0.25">
      <c r="A4" s="160">
        <v>13441</v>
      </c>
      <c r="B4" s="156" t="s">
        <v>50</v>
      </c>
      <c r="C4" s="156" t="s">
        <v>51</v>
      </c>
      <c r="D4" s="157">
        <v>46167</v>
      </c>
      <c r="E4" s="156" t="s">
        <v>379</v>
      </c>
      <c r="F4" s="160" t="s">
        <v>21</v>
      </c>
      <c r="G4" s="165">
        <v>17.396799999999999</v>
      </c>
      <c r="H4" s="165">
        <v>1</v>
      </c>
      <c r="I4" s="167">
        <v>4002</v>
      </c>
      <c r="J4" s="167">
        <f t="shared" si="0"/>
        <v>4002</v>
      </c>
      <c r="K4" s="167">
        <v>676.88</v>
      </c>
      <c r="L4" s="167">
        <v>670.65</v>
      </c>
      <c r="M4" s="167">
        <v>0</v>
      </c>
      <c r="N4" s="167">
        <v>2629.12</v>
      </c>
      <c r="O4" s="167">
        <f t="shared" si="1"/>
        <v>2629.12</v>
      </c>
      <c r="P4" s="167">
        <v>1372.88</v>
      </c>
      <c r="Q4" s="167">
        <v>0</v>
      </c>
      <c r="R4" s="167">
        <v>1372.88</v>
      </c>
      <c r="S4" s="167">
        <v>1372.88</v>
      </c>
      <c r="T4" s="167">
        <v>702.23</v>
      </c>
      <c r="U4" s="159">
        <v>0.34460000000000002</v>
      </c>
      <c r="V4" s="158">
        <v>696</v>
      </c>
      <c r="W4" s="159">
        <v>0.1739</v>
      </c>
      <c r="X4" s="155">
        <v>0.5</v>
      </c>
    </row>
    <row r="5" spans="1:24" hidden="1" x14ac:dyDescent="0.25">
      <c r="A5" s="160">
        <v>13432</v>
      </c>
      <c r="B5" s="156" t="s">
        <v>74</v>
      </c>
      <c r="C5" s="156" t="s">
        <v>51</v>
      </c>
      <c r="D5" s="157">
        <v>46167</v>
      </c>
      <c r="E5" s="156" t="s">
        <v>380</v>
      </c>
      <c r="F5" s="160" t="s">
        <v>21</v>
      </c>
      <c r="G5" s="165">
        <v>17.3477</v>
      </c>
      <c r="H5" s="165">
        <v>1</v>
      </c>
      <c r="I5" s="167">
        <v>74764.800000000003</v>
      </c>
      <c r="J5" s="167">
        <f t="shared" si="0"/>
        <v>74764.800000000003</v>
      </c>
      <c r="K5" s="167">
        <v>10218.64</v>
      </c>
      <c r="L5" s="167">
        <v>12212.36</v>
      </c>
      <c r="M5" s="167">
        <v>0</v>
      </c>
      <c r="N5" s="167">
        <v>74764.800000000003</v>
      </c>
      <c r="O5" s="167">
        <f t="shared" si="1"/>
        <v>74764.800000000003</v>
      </c>
      <c r="P5" s="167">
        <v>0</v>
      </c>
      <c r="Q5" s="167">
        <v>0</v>
      </c>
      <c r="R5" s="167">
        <v>0</v>
      </c>
      <c r="S5" s="167">
        <v>0</v>
      </c>
      <c r="T5" s="168" t="s">
        <v>381</v>
      </c>
      <c r="U5" s="156" t="s">
        <v>382</v>
      </c>
      <c r="V5" s="156" t="s">
        <v>381</v>
      </c>
      <c r="W5" s="156" t="s">
        <v>382</v>
      </c>
      <c r="X5" s="155">
        <v>0.2</v>
      </c>
    </row>
    <row r="6" spans="1:24" hidden="1" x14ac:dyDescent="0.25">
      <c r="A6" s="160">
        <v>13410</v>
      </c>
      <c r="B6" s="156" t="s">
        <v>33</v>
      </c>
      <c r="C6" s="156" t="s">
        <v>38</v>
      </c>
      <c r="D6" s="157">
        <v>46163</v>
      </c>
      <c r="E6" s="156" t="s">
        <v>383</v>
      </c>
      <c r="F6" s="160" t="s">
        <v>21</v>
      </c>
      <c r="G6" s="165">
        <v>17.213000000000001</v>
      </c>
      <c r="H6" s="165">
        <v>1</v>
      </c>
      <c r="I6" s="167">
        <v>12760.02</v>
      </c>
      <c r="J6" s="167">
        <f t="shared" si="0"/>
        <v>12760.02</v>
      </c>
      <c r="K6" s="167">
        <v>787.82</v>
      </c>
      <c r="L6" s="167">
        <v>720.5</v>
      </c>
      <c r="M6" s="167">
        <v>0</v>
      </c>
      <c r="N6" s="167">
        <v>7350</v>
      </c>
      <c r="O6" s="167">
        <f t="shared" si="1"/>
        <v>7350</v>
      </c>
      <c r="P6" s="167">
        <v>5410.02</v>
      </c>
      <c r="Q6" s="167">
        <v>0</v>
      </c>
      <c r="R6" s="167">
        <v>5410.02</v>
      </c>
      <c r="S6" s="167">
        <v>5410.02</v>
      </c>
      <c r="T6" s="167">
        <v>4689.5200000000004</v>
      </c>
      <c r="U6" s="159">
        <v>0.42930000000000001</v>
      </c>
      <c r="V6" s="158">
        <v>4622.2</v>
      </c>
      <c r="W6" s="159">
        <v>0.36220000000000002</v>
      </c>
      <c r="X6" s="155">
        <v>0.33</v>
      </c>
    </row>
    <row r="7" spans="1:24" hidden="1" x14ac:dyDescent="0.25">
      <c r="A7" s="160">
        <v>13387</v>
      </c>
      <c r="B7" s="156" t="s">
        <v>33</v>
      </c>
      <c r="C7" s="156" t="s">
        <v>155</v>
      </c>
      <c r="D7" s="157">
        <v>46171</v>
      </c>
      <c r="E7" s="156" t="s">
        <v>384</v>
      </c>
      <c r="F7" s="160" t="s">
        <v>21</v>
      </c>
      <c r="G7" s="165">
        <v>17.190799999999999</v>
      </c>
      <c r="H7" s="165">
        <v>1</v>
      </c>
      <c r="I7" s="167">
        <v>131414.39999999999</v>
      </c>
      <c r="J7" s="167">
        <f t="shared" si="0"/>
        <v>131414.39999999999</v>
      </c>
      <c r="K7" s="167">
        <v>8948.08</v>
      </c>
      <c r="L7" s="167">
        <v>8604.5</v>
      </c>
      <c r="M7" s="167">
        <v>0</v>
      </c>
      <c r="N7" s="167">
        <v>90050</v>
      </c>
      <c r="O7" s="167">
        <f t="shared" si="1"/>
        <v>90050</v>
      </c>
      <c r="P7" s="167">
        <v>41364.400000000001</v>
      </c>
      <c r="Q7" s="167">
        <v>0</v>
      </c>
      <c r="R7" s="167">
        <v>41364.400000000001</v>
      </c>
      <c r="S7" s="167">
        <v>40513.800000000003</v>
      </c>
      <c r="T7" s="167">
        <v>31909.3</v>
      </c>
      <c r="U7" s="159">
        <v>0.31090000000000001</v>
      </c>
      <c r="V7" s="158">
        <v>31565.72</v>
      </c>
      <c r="W7" s="159">
        <v>0.2402</v>
      </c>
      <c r="X7" s="155">
        <v>0.4</v>
      </c>
    </row>
    <row r="8" spans="1:24" hidden="1" x14ac:dyDescent="0.25">
      <c r="A8" s="160">
        <v>13386</v>
      </c>
      <c r="B8" s="156" t="s">
        <v>50</v>
      </c>
      <c r="C8" s="156" t="s">
        <v>51</v>
      </c>
      <c r="D8" s="157">
        <v>46160</v>
      </c>
      <c r="E8" s="156" t="s">
        <v>385</v>
      </c>
      <c r="F8" s="160" t="s">
        <v>21</v>
      </c>
      <c r="G8" s="165">
        <v>17.190799999999999</v>
      </c>
      <c r="H8" s="165">
        <v>1</v>
      </c>
      <c r="I8" s="167">
        <v>10939.5</v>
      </c>
      <c r="J8" s="167">
        <f t="shared" si="0"/>
        <v>10939.5</v>
      </c>
      <c r="K8" s="167">
        <v>0</v>
      </c>
      <c r="L8" s="167">
        <v>0</v>
      </c>
      <c r="M8" s="167">
        <v>0</v>
      </c>
      <c r="N8" s="167">
        <v>10939.5</v>
      </c>
      <c r="O8" s="167">
        <f t="shared" si="1"/>
        <v>10939.5</v>
      </c>
      <c r="P8" s="167">
        <v>0</v>
      </c>
      <c r="Q8" s="167">
        <v>0</v>
      </c>
      <c r="R8" s="167">
        <v>0</v>
      </c>
      <c r="S8" s="167">
        <v>0</v>
      </c>
      <c r="T8" s="167">
        <v>0</v>
      </c>
      <c r="U8" s="159">
        <v>0</v>
      </c>
      <c r="V8" s="158">
        <v>0</v>
      </c>
      <c r="W8" s="159">
        <v>0</v>
      </c>
      <c r="X8" s="155">
        <v>0.1</v>
      </c>
    </row>
    <row r="9" spans="1:24" hidden="1" x14ac:dyDescent="0.25">
      <c r="A9" s="160">
        <v>13382</v>
      </c>
      <c r="B9" s="156" t="s">
        <v>50</v>
      </c>
      <c r="C9" s="156" t="s">
        <v>51</v>
      </c>
      <c r="D9" s="157">
        <v>46160</v>
      </c>
      <c r="E9" s="156" t="s">
        <v>386</v>
      </c>
      <c r="F9" s="160" t="s">
        <v>21</v>
      </c>
      <c r="G9" s="165">
        <v>17.190799999999999</v>
      </c>
      <c r="H9" s="165">
        <v>1</v>
      </c>
      <c r="I9" s="167">
        <v>8832.14</v>
      </c>
      <c r="J9" s="167">
        <f t="shared" si="0"/>
        <v>8832.14</v>
      </c>
      <c r="K9" s="167">
        <v>1200.79</v>
      </c>
      <c r="L9" s="167">
        <v>789.75</v>
      </c>
      <c r="M9" s="167">
        <v>1185.01</v>
      </c>
      <c r="N9" s="167">
        <v>1818.14</v>
      </c>
      <c r="O9" s="167">
        <f t="shared" si="1"/>
        <v>1818.14</v>
      </c>
      <c r="P9" s="167">
        <v>702.5</v>
      </c>
      <c r="Q9" s="167">
        <v>5126.49</v>
      </c>
      <c r="R9" s="167">
        <v>7014</v>
      </c>
      <c r="S9" s="167">
        <v>5828.99</v>
      </c>
      <c r="T9" s="167">
        <v>5039.24</v>
      </c>
      <c r="U9" s="159">
        <v>0.70650000000000002</v>
      </c>
      <c r="V9" s="158">
        <v>4628.2</v>
      </c>
      <c r="W9" s="159">
        <v>0.52400000000000002</v>
      </c>
      <c r="X9" s="155">
        <v>0.4</v>
      </c>
    </row>
    <row r="10" spans="1:24" hidden="1" x14ac:dyDescent="0.25">
      <c r="A10" s="160">
        <v>13362</v>
      </c>
      <c r="B10" s="156" t="s">
        <v>24</v>
      </c>
      <c r="C10" s="156" t="s">
        <v>78</v>
      </c>
      <c r="D10" s="157">
        <v>46153</v>
      </c>
      <c r="E10" s="156" t="s">
        <v>387</v>
      </c>
      <c r="F10" s="160" t="s">
        <v>21</v>
      </c>
      <c r="G10" s="165">
        <v>17.253</v>
      </c>
      <c r="H10" s="165">
        <v>1</v>
      </c>
      <c r="I10" s="167">
        <v>3788.24</v>
      </c>
      <c r="J10" s="167">
        <f t="shared" si="0"/>
        <v>3788.24</v>
      </c>
      <c r="K10" s="167">
        <v>732.29</v>
      </c>
      <c r="L10" s="167">
        <v>726.72</v>
      </c>
      <c r="M10" s="167">
        <v>0</v>
      </c>
      <c r="N10" s="167">
        <v>1511.48</v>
      </c>
      <c r="O10" s="167">
        <f t="shared" si="1"/>
        <v>1511.48</v>
      </c>
      <c r="P10" s="167">
        <v>2276.7600000000002</v>
      </c>
      <c r="Q10" s="167">
        <v>0</v>
      </c>
      <c r="R10" s="167">
        <v>2276.7600000000002</v>
      </c>
      <c r="S10" s="167">
        <v>2196.7600000000002</v>
      </c>
      <c r="T10" s="167">
        <v>1470.04</v>
      </c>
      <c r="U10" s="159">
        <v>0.58140000000000003</v>
      </c>
      <c r="V10" s="158">
        <v>1464.47</v>
      </c>
      <c r="W10" s="159">
        <v>0.3866</v>
      </c>
      <c r="X10" s="155">
        <v>0</v>
      </c>
    </row>
    <row r="11" spans="1:24" hidden="1" x14ac:dyDescent="0.25">
      <c r="A11" s="160">
        <v>13356</v>
      </c>
      <c r="B11" s="156" t="s">
        <v>74</v>
      </c>
      <c r="C11" s="156" t="s">
        <v>388</v>
      </c>
      <c r="D11" s="157">
        <v>46170</v>
      </c>
      <c r="E11" s="156" t="s">
        <v>389</v>
      </c>
      <c r="F11" s="160" t="s">
        <v>21</v>
      </c>
      <c r="G11" s="165">
        <v>17.3752</v>
      </c>
      <c r="H11" s="165">
        <v>1</v>
      </c>
      <c r="I11" s="167">
        <v>1712.7</v>
      </c>
      <c r="J11" s="167">
        <f t="shared" si="0"/>
        <v>1712.7</v>
      </c>
      <c r="K11" s="167">
        <v>288.93</v>
      </c>
      <c r="L11" s="167">
        <v>288.83999999999997</v>
      </c>
      <c r="M11" s="167">
        <v>0</v>
      </c>
      <c r="N11" s="167">
        <v>1294.67</v>
      </c>
      <c r="O11" s="167">
        <f t="shared" si="1"/>
        <v>1294.67</v>
      </c>
      <c r="P11" s="167">
        <v>418.03</v>
      </c>
      <c r="Q11" s="167">
        <v>0</v>
      </c>
      <c r="R11" s="167">
        <v>418.03</v>
      </c>
      <c r="S11" s="167">
        <v>418.03</v>
      </c>
      <c r="T11" s="167">
        <v>129.19</v>
      </c>
      <c r="U11" s="159">
        <v>0.24410000000000001</v>
      </c>
      <c r="V11" s="158">
        <v>129.1</v>
      </c>
      <c r="W11" s="159">
        <v>7.5399999999999995E-2</v>
      </c>
      <c r="X11" s="155">
        <v>0.32</v>
      </c>
    </row>
    <row r="12" spans="1:24" hidden="1" x14ac:dyDescent="0.25">
      <c r="A12" s="160">
        <v>13347</v>
      </c>
      <c r="B12" s="156" t="s">
        <v>33</v>
      </c>
      <c r="C12" s="156" t="s">
        <v>390</v>
      </c>
      <c r="D12" s="157">
        <v>46161</v>
      </c>
      <c r="E12" s="156" t="s">
        <v>391</v>
      </c>
      <c r="F12" s="160" t="s">
        <v>21</v>
      </c>
      <c r="G12" s="165">
        <v>17.515699999999999</v>
      </c>
      <c r="H12" s="165">
        <v>1</v>
      </c>
      <c r="I12" s="167">
        <v>26906.17</v>
      </c>
      <c r="J12" s="167">
        <f t="shared" si="0"/>
        <v>26906.17</v>
      </c>
      <c r="K12" s="167">
        <v>3671.14</v>
      </c>
      <c r="L12" s="167">
        <v>4022.3</v>
      </c>
      <c r="M12" s="167">
        <v>3042.46</v>
      </c>
      <c r="N12" s="167">
        <v>14896.17</v>
      </c>
      <c r="O12" s="167">
        <f t="shared" si="1"/>
        <v>14896.17</v>
      </c>
      <c r="P12" s="167">
        <v>2758.65</v>
      </c>
      <c r="Q12" s="167">
        <v>6208.89</v>
      </c>
      <c r="R12" s="167">
        <v>12010</v>
      </c>
      <c r="S12" s="167">
        <v>8967.5400000000009</v>
      </c>
      <c r="T12" s="167">
        <v>4945.24</v>
      </c>
      <c r="U12" s="159">
        <v>0.18379999999999999</v>
      </c>
      <c r="V12" s="158">
        <v>4945.24</v>
      </c>
      <c r="W12" s="159">
        <v>0.18379999999999999</v>
      </c>
      <c r="X12" s="155">
        <v>0.4</v>
      </c>
    </row>
    <row r="13" spans="1:24" hidden="1" x14ac:dyDescent="0.25">
      <c r="A13" s="160">
        <v>13346</v>
      </c>
      <c r="B13" s="156" t="s">
        <v>50</v>
      </c>
      <c r="C13" s="156" t="s">
        <v>51</v>
      </c>
      <c r="D13" s="157">
        <v>46157</v>
      </c>
      <c r="E13" s="156" t="s">
        <v>392</v>
      </c>
      <c r="F13" s="160" t="s">
        <v>21</v>
      </c>
      <c r="G13" s="165">
        <v>17.515699999999999</v>
      </c>
      <c r="H13" s="165">
        <v>1</v>
      </c>
      <c r="I13" s="167">
        <v>2282.37</v>
      </c>
      <c r="J13" s="167">
        <f t="shared" si="0"/>
        <v>2282.37</v>
      </c>
      <c r="K13" s="167">
        <v>410.59</v>
      </c>
      <c r="L13" s="167">
        <v>412.33</v>
      </c>
      <c r="M13" s="167">
        <v>1106.9100000000001</v>
      </c>
      <c r="N13" s="167">
        <v>532.61</v>
      </c>
      <c r="O13" s="167">
        <f t="shared" si="1"/>
        <v>532.61</v>
      </c>
      <c r="P13" s="167">
        <v>224.16</v>
      </c>
      <c r="Q13" s="167">
        <v>418.69</v>
      </c>
      <c r="R13" s="167">
        <v>1749.76</v>
      </c>
      <c r="S13" s="167">
        <v>642.85</v>
      </c>
      <c r="T13" s="167">
        <v>230.52</v>
      </c>
      <c r="U13" s="159">
        <v>0.10100000000000001</v>
      </c>
      <c r="V13" s="158">
        <v>230.52</v>
      </c>
      <c r="W13" s="159">
        <v>0.10100000000000001</v>
      </c>
      <c r="X13" s="155">
        <v>0.6</v>
      </c>
    </row>
    <row r="14" spans="1:24" hidden="1" x14ac:dyDescent="0.25">
      <c r="A14" s="160">
        <v>13338</v>
      </c>
      <c r="B14" s="156" t="s">
        <v>33</v>
      </c>
      <c r="C14" s="156" t="s">
        <v>105</v>
      </c>
      <c r="D14" s="157">
        <v>46170</v>
      </c>
      <c r="E14" s="156" t="s">
        <v>393</v>
      </c>
      <c r="F14" s="160" t="s">
        <v>21</v>
      </c>
      <c r="G14" s="165">
        <v>17.511800000000001</v>
      </c>
      <c r="H14" s="165">
        <v>1</v>
      </c>
      <c r="I14" s="167">
        <v>0.5</v>
      </c>
      <c r="J14" s="167">
        <f t="shared" si="0"/>
        <v>0.5</v>
      </c>
      <c r="K14" s="167">
        <v>250.06</v>
      </c>
      <c r="L14" s="167">
        <v>520.25</v>
      </c>
      <c r="M14" s="167">
        <v>1286.8399999999999</v>
      </c>
      <c r="N14" s="167">
        <v>0</v>
      </c>
      <c r="O14" s="167">
        <f t="shared" si="1"/>
        <v>0</v>
      </c>
      <c r="P14" s="167">
        <v>0.5</v>
      </c>
      <c r="Q14" s="168" t="s">
        <v>394</v>
      </c>
      <c r="R14" s="167">
        <v>0.5</v>
      </c>
      <c r="S14" s="168" t="s">
        <v>395</v>
      </c>
      <c r="T14" s="168" t="s">
        <v>396</v>
      </c>
      <c r="U14" s="156" t="s">
        <v>397</v>
      </c>
      <c r="V14" s="156" t="s">
        <v>396</v>
      </c>
      <c r="W14" s="156" t="s">
        <v>397</v>
      </c>
      <c r="X14" s="155">
        <v>0.35</v>
      </c>
    </row>
    <row r="15" spans="1:24" x14ac:dyDescent="0.25">
      <c r="A15" s="160">
        <v>13320</v>
      </c>
      <c r="B15" s="156" t="s">
        <v>50</v>
      </c>
      <c r="C15" s="156" t="s">
        <v>91</v>
      </c>
      <c r="D15" s="157">
        <v>46147</v>
      </c>
      <c r="E15" s="156" t="s">
        <v>398</v>
      </c>
      <c r="F15" s="160" t="s">
        <v>21</v>
      </c>
      <c r="G15" s="165">
        <v>17.494800000000001</v>
      </c>
      <c r="H15" s="165">
        <v>1</v>
      </c>
      <c r="I15" s="167">
        <v>1471.5</v>
      </c>
      <c r="J15" s="167">
        <f t="shared" si="0"/>
        <v>1471.5</v>
      </c>
      <c r="K15" s="167">
        <v>395.33</v>
      </c>
      <c r="L15" s="167">
        <v>394.13</v>
      </c>
      <c r="M15" s="167">
        <v>0</v>
      </c>
      <c r="N15" s="167">
        <v>900.75</v>
      </c>
      <c r="O15" s="167">
        <f t="shared" si="1"/>
        <v>900.75</v>
      </c>
      <c r="P15" s="167">
        <v>570.75</v>
      </c>
      <c r="Q15" s="167">
        <v>0</v>
      </c>
      <c r="R15" s="167">
        <v>570.75</v>
      </c>
      <c r="S15" s="167">
        <v>569</v>
      </c>
      <c r="T15" s="167">
        <v>174.87</v>
      </c>
      <c r="U15" s="159">
        <v>0.38750000000000001</v>
      </c>
      <c r="V15" s="158">
        <v>173.67</v>
      </c>
      <c r="W15" s="159">
        <v>0.11799999999999999</v>
      </c>
      <c r="X15" s="155">
        <v>0.62</v>
      </c>
    </row>
    <row r="16" spans="1:24" hidden="1" x14ac:dyDescent="0.25">
      <c r="A16" s="160">
        <v>13298</v>
      </c>
      <c r="B16" s="156" t="s">
        <v>33</v>
      </c>
      <c r="C16" s="156" t="s">
        <v>38</v>
      </c>
      <c r="D16" s="157">
        <v>46170</v>
      </c>
      <c r="E16" s="156" t="s">
        <v>399</v>
      </c>
      <c r="F16" s="160" t="s">
        <v>21</v>
      </c>
      <c r="G16" s="165">
        <v>17.405200000000001</v>
      </c>
      <c r="H16" s="165">
        <v>1</v>
      </c>
      <c r="I16" s="167">
        <v>20250</v>
      </c>
      <c r="J16" s="167">
        <f t="shared" si="0"/>
        <v>20250</v>
      </c>
      <c r="K16" s="167">
        <v>850</v>
      </c>
      <c r="L16" s="167">
        <v>820</v>
      </c>
      <c r="M16" s="167">
        <v>0</v>
      </c>
      <c r="N16" s="167">
        <v>14000</v>
      </c>
      <c r="O16" s="167">
        <f t="shared" si="1"/>
        <v>14000</v>
      </c>
      <c r="P16" s="167">
        <v>6250</v>
      </c>
      <c r="Q16" s="167">
        <v>0</v>
      </c>
      <c r="R16" s="167">
        <v>6250</v>
      </c>
      <c r="S16" s="167">
        <v>6250</v>
      </c>
      <c r="T16" s="167">
        <v>5430</v>
      </c>
      <c r="U16" s="159">
        <v>0.31009999999999999</v>
      </c>
      <c r="V16" s="158">
        <v>5400</v>
      </c>
      <c r="W16" s="159">
        <v>0.26669999999999999</v>
      </c>
      <c r="X16" s="155">
        <v>0.35</v>
      </c>
    </row>
    <row r="17" spans="1:24" hidden="1" x14ac:dyDescent="0.25">
      <c r="A17" s="160">
        <v>13297</v>
      </c>
      <c r="B17" s="156" t="s">
        <v>316</v>
      </c>
      <c r="C17" s="156" t="s">
        <v>59</v>
      </c>
      <c r="D17" s="157">
        <v>46160</v>
      </c>
      <c r="E17" s="156" t="s">
        <v>400</v>
      </c>
      <c r="F17" s="160" t="s">
        <v>21</v>
      </c>
      <c r="G17" s="165">
        <v>17.405200000000001</v>
      </c>
      <c r="H17" s="165">
        <v>1</v>
      </c>
      <c r="I17" s="167">
        <v>2797.43</v>
      </c>
      <c r="J17" s="167">
        <f t="shared" si="0"/>
        <v>2797.43</v>
      </c>
      <c r="K17" s="167">
        <v>574.1</v>
      </c>
      <c r="L17" s="167">
        <v>544.30999999999995</v>
      </c>
      <c r="M17" s="167">
        <v>0</v>
      </c>
      <c r="N17" s="167">
        <v>1549</v>
      </c>
      <c r="O17" s="167">
        <f t="shared" si="1"/>
        <v>1549</v>
      </c>
      <c r="P17" s="167">
        <v>1248.43</v>
      </c>
      <c r="Q17" s="167">
        <v>0</v>
      </c>
      <c r="R17" s="167">
        <v>1248.43</v>
      </c>
      <c r="S17" s="167">
        <v>1248.43</v>
      </c>
      <c r="T17" s="167">
        <v>704.12</v>
      </c>
      <c r="U17" s="159">
        <v>0.45689999999999997</v>
      </c>
      <c r="V17" s="158">
        <v>674.33</v>
      </c>
      <c r="W17" s="159">
        <v>0.24110000000000001</v>
      </c>
      <c r="X17" s="155">
        <v>0.64</v>
      </c>
    </row>
    <row r="18" spans="1:24" hidden="1" x14ac:dyDescent="0.25">
      <c r="A18" s="160">
        <v>13288</v>
      </c>
      <c r="B18" s="156" t="s">
        <v>33</v>
      </c>
      <c r="C18" s="156" t="s">
        <v>38</v>
      </c>
      <c r="D18" s="157">
        <v>46153</v>
      </c>
      <c r="E18" s="156" t="s">
        <v>401</v>
      </c>
      <c r="F18" s="160" t="s">
        <v>21</v>
      </c>
      <c r="G18" s="165">
        <v>17.358699999999999</v>
      </c>
      <c r="H18" s="165">
        <v>1</v>
      </c>
      <c r="I18" s="167">
        <v>5508.81</v>
      </c>
      <c r="J18" s="167">
        <f t="shared" si="0"/>
        <v>5508.81</v>
      </c>
      <c r="K18" s="167">
        <v>519.76</v>
      </c>
      <c r="L18" s="167">
        <v>514.61</v>
      </c>
      <c r="M18" s="167">
        <v>0</v>
      </c>
      <c r="N18" s="167">
        <v>3820.32</v>
      </c>
      <c r="O18" s="167">
        <f t="shared" si="1"/>
        <v>3820.32</v>
      </c>
      <c r="P18" s="167">
        <v>1688.49</v>
      </c>
      <c r="Q18" s="167">
        <v>0</v>
      </c>
      <c r="R18" s="167">
        <v>1688.49</v>
      </c>
      <c r="S18" s="167">
        <v>1688.49</v>
      </c>
      <c r="T18" s="167">
        <v>1173.8800000000001</v>
      </c>
      <c r="U18" s="159">
        <v>0.30740000000000001</v>
      </c>
      <c r="V18" s="158">
        <v>1168.73</v>
      </c>
      <c r="W18" s="159">
        <v>0.2122</v>
      </c>
      <c r="X18" s="155">
        <v>0.38</v>
      </c>
    </row>
    <row r="19" spans="1:24" hidden="1" x14ac:dyDescent="0.25">
      <c r="A19" s="160">
        <v>13283</v>
      </c>
      <c r="B19" s="156" t="s">
        <v>18</v>
      </c>
      <c r="C19" s="156" t="s">
        <v>19</v>
      </c>
      <c r="D19" s="157">
        <v>46147</v>
      </c>
      <c r="E19" s="156" t="s">
        <v>402</v>
      </c>
      <c r="F19" s="160" t="s">
        <v>21</v>
      </c>
      <c r="G19" s="165">
        <v>17.3323</v>
      </c>
      <c r="H19" s="165">
        <v>1</v>
      </c>
      <c r="I19" s="167">
        <v>7140.41</v>
      </c>
      <c r="J19" s="167">
        <f t="shared" si="0"/>
        <v>7140.41</v>
      </c>
      <c r="K19" s="167">
        <v>1039.3800000000001</v>
      </c>
      <c r="L19" s="167">
        <v>950</v>
      </c>
      <c r="M19" s="167">
        <v>2021</v>
      </c>
      <c r="N19" s="167">
        <v>1722.45</v>
      </c>
      <c r="O19" s="167">
        <f t="shared" si="1"/>
        <v>1722.45</v>
      </c>
      <c r="P19" s="167">
        <v>1212.8</v>
      </c>
      <c r="Q19" s="167">
        <v>2184.16</v>
      </c>
      <c r="R19" s="167">
        <v>5417.96</v>
      </c>
      <c r="S19" s="167">
        <v>3396.96</v>
      </c>
      <c r="T19" s="167">
        <v>2446.96</v>
      </c>
      <c r="U19" s="159">
        <v>0.48830000000000001</v>
      </c>
      <c r="V19" s="158">
        <v>2357.58</v>
      </c>
      <c r="W19" s="159">
        <v>0.33019999999999999</v>
      </c>
      <c r="X19" s="155">
        <v>0.35</v>
      </c>
    </row>
    <row r="20" spans="1:24" hidden="1" x14ac:dyDescent="0.25">
      <c r="A20" s="160">
        <v>13267</v>
      </c>
      <c r="B20" s="156" t="s">
        <v>50</v>
      </c>
      <c r="C20" s="156" t="s">
        <v>250</v>
      </c>
      <c r="D20" s="157">
        <v>46160</v>
      </c>
      <c r="E20" s="156" t="s">
        <v>403</v>
      </c>
      <c r="F20" s="160" t="s">
        <v>21</v>
      </c>
      <c r="G20" s="165">
        <v>17.272300000000001</v>
      </c>
      <c r="H20" s="165">
        <v>1</v>
      </c>
      <c r="I20" s="167">
        <v>14010.74</v>
      </c>
      <c r="J20" s="167">
        <f t="shared" si="0"/>
        <v>14010.74</v>
      </c>
      <c r="K20" s="167">
        <v>1773.16</v>
      </c>
      <c r="L20" s="167">
        <v>1098.3599999999999</v>
      </c>
      <c r="M20" s="167">
        <v>2030.32</v>
      </c>
      <c r="N20" s="167">
        <v>2637.46</v>
      </c>
      <c r="O20" s="167">
        <f t="shared" si="1"/>
        <v>2637.46</v>
      </c>
      <c r="P20" s="167">
        <v>2962.96</v>
      </c>
      <c r="Q20" s="167">
        <v>6380</v>
      </c>
      <c r="R20" s="167">
        <v>11373.28</v>
      </c>
      <c r="S20" s="167">
        <v>9342.9599999999991</v>
      </c>
      <c r="T20" s="167">
        <v>8244.6</v>
      </c>
      <c r="U20" s="159">
        <v>0.71499999999999997</v>
      </c>
      <c r="V20" s="158">
        <v>7569.8</v>
      </c>
      <c r="W20" s="159">
        <v>0.5403</v>
      </c>
      <c r="X20" s="155">
        <v>0.4</v>
      </c>
    </row>
    <row r="21" spans="1:24" hidden="1" x14ac:dyDescent="0.25">
      <c r="A21" s="160">
        <v>13239</v>
      </c>
      <c r="B21" s="156" t="s">
        <v>33</v>
      </c>
      <c r="C21" s="156" t="s">
        <v>390</v>
      </c>
      <c r="D21" s="157">
        <v>46163</v>
      </c>
      <c r="E21" s="156" t="s">
        <v>404</v>
      </c>
      <c r="F21" s="160" t="s">
        <v>21</v>
      </c>
      <c r="G21" s="165">
        <v>17.3033</v>
      </c>
      <c r="H21" s="165">
        <v>1</v>
      </c>
      <c r="I21" s="167">
        <v>38485.39</v>
      </c>
      <c r="J21" s="167">
        <f t="shared" si="0"/>
        <v>38485.39</v>
      </c>
      <c r="K21" s="167">
        <v>5303.27</v>
      </c>
      <c r="L21" s="167">
        <v>4708.91</v>
      </c>
      <c r="M21" s="167">
        <v>4056.6</v>
      </c>
      <c r="N21" s="167">
        <v>14731.38</v>
      </c>
      <c r="O21" s="167">
        <f t="shared" si="1"/>
        <v>14731.38</v>
      </c>
      <c r="P21" s="167">
        <v>9876.98</v>
      </c>
      <c r="Q21" s="167">
        <v>9820.43</v>
      </c>
      <c r="R21" s="167">
        <v>23754.01</v>
      </c>
      <c r="S21" s="167">
        <v>19697.41</v>
      </c>
      <c r="T21" s="167">
        <v>14988.5</v>
      </c>
      <c r="U21" s="159">
        <v>0.52729999999999999</v>
      </c>
      <c r="V21" s="158">
        <v>14394.14</v>
      </c>
      <c r="W21" s="159">
        <v>0.374</v>
      </c>
      <c r="X21" s="155">
        <v>0.37</v>
      </c>
    </row>
    <row r="22" spans="1:24" hidden="1" x14ac:dyDescent="0.25">
      <c r="A22" s="160">
        <v>13237</v>
      </c>
      <c r="B22" s="156" t="s">
        <v>74</v>
      </c>
      <c r="C22" s="156" t="s">
        <v>405</v>
      </c>
      <c r="D22" s="157">
        <v>46156</v>
      </c>
      <c r="E22" s="156" t="s">
        <v>406</v>
      </c>
      <c r="F22" s="160" t="s">
        <v>21</v>
      </c>
      <c r="G22" s="165">
        <v>17.359300000000001</v>
      </c>
      <c r="H22" s="165">
        <v>1</v>
      </c>
      <c r="I22" s="167">
        <v>26803.03</v>
      </c>
      <c r="J22" s="167">
        <f t="shared" si="0"/>
        <v>26803.03</v>
      </c>
      <c r="K22" s="167">
        <v>3372.2</v>
      </c>
      <c r="L22" s="167">
        <v>2503.81</v>
      </c>
      <c r="M22" s="167">
        <v>4056.6</v>
      </c>
      <c r="N22" s="167">
        <v>8762.0300000000007</v>
      </c>
      <c r="O22" s="167">
        <f t="shared" si="1"/>
        <v>8762.0300000000007</v>
      </c>
      <c r="P22" s="167">
        <v>9630.68</v>
      </c>
      <c r="Q22" s="167">
        <v>4353.72</v>
      </c>
      <c r="R22" s="167">
        <v>18041</v>
      </c>
      <c r="S22" s="167">
        <v>13984.4</v>
      </c>
      <c r="T22" s="167">
        <v>11480.59</v>
      </c>
      <c r="U22" s="159">
        <v>0.55410000000000004</v>
      </c>
      <c r="V22" s="158">
        <v>10612.2</v>
      </c>
      <c r="W22" s="159">
        <v>0.39589999999999997</v>
      </c>
      <c r="X22" s="155">
        <v>0.33</v>
      </c>
    </row>
    <row r="23" spans="1:24" hidden="1" x14ac:dyDescent="0.25">
      <c r="A23" s="160">
        <v>13231</v>
      </c>
      <c r="B23" s="156" t="s">
        <v>33</v>
      </c>
      <c r="C23" s="156" t="s">
        <v>188</v>
      </c>
      <c r="D23" s="157">
        <v>46168</v>
      </c>
      <c r="E23" s="156" t="s">
        <v>407</v>
      </c>
      <c r="F23" s="160" t="s">
        <v>21</v>
      </c>
      <c r="G23" s="165">
        <v>17.359300000000001</v>
      </c>
      <c r="H23" s="165">
        <v>1</v>
      </c>
      <c r="I23" s="167">
        <v>1878.67</v>
      </c>
      <c r="J23" s="167">
        <f t="shared" si="0"/>
        <v>1878.67</v>
      </c>
      <c r="K23" s="167">
        <v>529.20000000000005</v>
      </c>
      <c r="L23" s="167">
        <v>529.20000000000005</v>
      </c>
      <c r="M23" s="167">
        <v>0</v>
      </c>
      <c r="N23" s="167">
        <v>973.4</v>
      </c>
      <c r="O23" s="167">
        <f t="shared" si="1"/>
        <v>973.4</v>
      </c>
      <c r="P23" s="167">
        <v>905.27</v>
      </c>
      <c r="Q23" s="167">
        <v>0</v>
      </c>
      <c r="R23" s="167">
        <v>905.27</v>
      </c>
      <c r="S23" s="167">
        <v>905.27</v>
      </c>
      <c r="T23" s="167">
        <v>376.07</v>
      </c>
      <c r="U23" s="159">
        <v>0.4819</v>
      </c>
      <c r="V23" s="158">
        <v>376.07</v>
      </c>
      <c r="W23" s="159">
        <v>0.20019999999999999</v>
      </c>
      <c r="X23" s="155">
        <v>0.93</v>
      </c>
    </row>
    <row r="24" spans="1:24" hidden="1" x14ac:dyDescent="0.25">
      <c r="A24" s="160">
        <v>13228</v>
      </c>
      <c r="B24" s="156" t="s">
        <v>50</v>
      </c>
      <c r="C24" s="156" t="s">
        <v>51</v>
      </c>
      <c r="D24" s="157">
        <v>46153</v>
      </c>
      <c r="E24" s="156" t="s">
        <v>408</v>
      </c>
      <c r="F24" s="160" t="s">
        <v>21</v>
      </c>
      <c r="G24" s="165">
        <v>17.415700000000001</v>
      </c>
      <c r="H24" s="165">
        <v>1</v>
      </c>
      <c r="I24" s="167">
        <v>2236.8000000000002</v>
      </c>
      <c r="J24" s="167">
        <f t="shared" si="0"/>
        <v>2236.8000000000002</v>
      </c>
      <c r="K24" s="167">
        <v>473.68</v>
      </c>
      <c r="L24" s="167">
        <v>479.76</v>
      </c>
      <c r="M24" s="167">
        <v>0</v>
      </c>
      <c r="N24" s="167">
        <v>1436</v>
      </c>
      <c r="O24" s="167">
        <f t="shared" si="1"/>
        <v>1436</v>
      </c>
      <c r="P24" s="167">
        <v>800.8</v>
      </c>
      <c r="Q24" s="167">
        <v>0</v>
      </c>
      <c r="R24" s="167">
        <v>800.8</v>
      </c>
      <c r="S24" s="167">
        <v>758.82</v>
      </c>
      <c r="T24" s="167">
        <v>279.06</v>
      </c>
      <c r="U24" s="159">
        <v>0.12479999999999999</v>
      </c>
      <c r="V24" s="158">
        <v>279.06</v>
      </c>
      <c r="W24" s="159">
        <v>0.12479999999999999</v>
      </c>
      <c r="X24" s="155">
        <v>0.6</v>
      </c>
    </row>
    <row r="25" spans="1:24" hidden="1" x14ac:dyDescent="0.25">
      <c r="A25" s="160">
        <v>13219</v>
      </c>
      <c r="B25" s="156" t="s">
        <v>18</v>
      </c>
      <c r="C25" s="156" t="s">
        <v>409</v>
      </c>
      <c r="D25" s="157">
        <v>46153</v>
      </c>
      <c r="E25" s="156" t="s">
        <v>410</v>
      </c>
      <c r="F25" s="160" t="s">
        <v>21</v>
      </c>
      <c r="G25" s="165">
        <v>17.757999999999999</v>
      </c>
      <c r="H25" s="165">
        <v>1</v>
      </c>
      <c r="I25" s="167">
        <v>35391.199999999997</v>
      </c>
      <c r="J25" s="167">
        <f t="shared" si="0"/>
        <v>35391.199999999997</v>
      </c>
      <c r="K25" s="167">
        <v>3218.29</v>
      </c>
      <c r="L25" s="167">
        <v>3034.55</v>
      </c>
      <c r="M25" s="167">
        <v>0</v>
      </c>
      <c r="N25" s="167">
        <v>21419.58</v>
      </c>
      <c r="O25" s="167">
        <f t="shared" si="1"/>
        <v>21419.58</v>
      </c>
      <c r="P25" s="167">
        <v>13971.62</v>
      </c>
      <c r="Q25" s="167">
        <v>0</v>
      </c>
      <c r="R25" s="167">
        <v>13971.62</v>
      </c>
      <c r="S25" s="167">
        <v>13971.62</v>
      </c>
      <c r="T25" s="167">
        <v>10937.07</v>
      </c>
      <c r="U25" s="159">
        <v>0.4</v>
      </c>
      <c r="V25" s="158">
        <v>10753.33</v>
      </c>
      <c r="W25" s="159">
        <v>0.30380000000000001</v>
      </c>
      <c r="X25" s="155">
        <v>0.55000000000000004</v>
      </c>
    </row>
    <row r="26" spans="1:24" hidden="1" x14ac:dyDescent="0.25">
      <c r="A26" s="160">
        <v>13173</v>
      </c>
      <c r="B26" s="156" t="s">
        <v>33</v>
      </c>
      <c r="C26" s="156" t="s">
        <v>335</v>
      </c>
      <c r="D26" s="157">
        <v>46169</v>
      </c>
      <c r="E26" s="156" t="s">
        <v>411</v>
      </c>
      <c r="F26" s="160" t="s">
        <v>21</v>
      </c>
      <c r="G26" s="165">
        <v>17.777999999999999</v>
      </c>
      <c r="H26" s="165">
        <v>1</v>
      </c>
      <c r="I26" s="167">
        <v>7151.29</v>
      </c>
      <c r="J26" s="167">
        <f t="shared" si="0"/>
        <v>7151.29</v>
      </c>
      <c r="K26" s="167">
        <v>558.91999999999996</v>
      </c>
      <c r="L26" s="167">
        <v>555.98</v>
      </c>
      <c r="M26" s="167">
        <v>0</v>
      </c>
      <c r="N26" s="167">
        <v>5199.42</v>
      </c>
      <c r="O26" s="167">
        <f t="shared" si="1"/>
        <v>5199.42</v>
      </c>
      <c r="P26" s="167">
        <v>1951.87</v>
      </c>
      <c r="Q26" s="167">
        <v>0</v>
      </c>
      <c r="R26" s="167">
        <v>1951.87</v>
      </c>
      <c r="S26" s="167">
        <v>1951.87</v>
      </c>
      <c r="T26" s="167">
        <v>1395.89</v>
      </c>
      <c r="U26" s="159">
        <v>0.27339999999999998</v>
      </c>
      <c r="V26" s="158">
        <v>1392.95</v>
      </c>
      <c r="W26" s="159">
        <v>0.1948</v>
      </c>
      <c r="X26" s="155">
        <v>0.35</v>
      </c>
    </row>
    <row r="27" spans="1:24" hidden="1" x14ac:dyDescent="0.25">
      <c r="A27" s="160">
        <v>13170</v>
      </c>
      <c r="B27" s="156" t="s">
        <v>316</v>
      </c>
      <c r="C27" s="156" t="s">
        <v>59</v>
      </c>
      <c r="D27" s="157">
        <v>46156</v>
      </c>
      <c r="E27" s="156" t="s">
        <v>412</v>
      </c>
      <c r="F27" s="160" t="s">
        <v>21</v>
      </c>
      <c r="G27" s="165">
        <v>17.777999999999999</v>
      </c>
      <c r="H27" s="165">
        <v>1</v>
      </c>
      <c r="I27" s="167">
        <v>3035.18</v>
      </c>
      <c r="J27" s="167">
        <f t="shared" si="0"/>
        <v>3035.18</v>
      </c>
      <c r="K27" s="167">
        <v>550.35</v>
      </c>
      <c r="L27" s="167">
        <v>451.8</v>
      </c>
      <c r="M27" s="167">
        <v>0</v>
      </c>
      <c r="N27" s="167">
        <v>1062.06</v>
      </c>
      <c r="O27" s="167">
        <f t="shared" si="1"/>
        <v>1062.06</v>
      </c>
      <c r="P27" s="167">
        <v>1973.12</v>
      </c>
      <c r="Q27" s="167">
        <v>0</v>
      </c>
      <c r="R27" s="167">
        <v>1973.12</v>
      </c>
      <c r="S27" s="167">
        <v>1973.12</v>
      </c>
      <c r="T27" s="167">
        <v>1521.32</v>
      </c>
      <c r="U27" s="159">
        <v>0.68259999999999998</v>
      </c>
      <c r="V27" s="158">
        <v>1422.77</v>
      </c>
      <c r="W27" s="159">
        <v>0.46879999999999999</v>
      </c>
      <c r="X27" s="155">
        <v>0.92</v>
      </c>
    </row>
    <row r="28" spans="1:24" hidden="1" x14ac:dyDescent="0.25">
      <c r="A28" s="160">
        <v>13008</v>
      </c>
      <c r="B28" s="156" t="s">
        <v>50</v>
      </c>
      <c r="C28" s="156" t="s">
        <v>153</v>
      </c>
      <c r="D28" s="157">
        <v>46161</v>
      </c>
      <c r="E28" s="156" t="s">
        <v>413</v>
      </c>
      <c r="F28" s="160" t="s">
        <v>123</v>
      </c>
      <c r="G28" s="165">
        <v>17.216200000000001</v>
      </c>
      <c r="H28" s="165">
        <v>17.216200000000001</v>
      </c>
      <c r="I28" s="167">
        <v>426.99</v>
      </c>
      <c r="J28" s="167">
        <f>+G28*I28</f>
        <v>7351.1452380000001</v>
      </c>
      <c r="K28" s="167">
        <v>55.92</v>
      </c>
      <c r="L28" s="167">
        <v>51</v>
      </c>
      <c r="M28" s="167">
        <v>0</v>
      </c>
      <c r="N28" s="167">
        <v>228</v>
      </c>
      <c r="O28" s="167">
        <f t="shared" si="1"/>
        <v>3925.2936</v>
      </c>
      <c r="P28" s="167">
        <v>198.99</v>
      </c>
      <c r="Q28" s="167">
        <v>0</v>
      </c>
      <c r="R28" s="167">
        <v>198.99</v>
      </c>
      <c r="S28" s="167">
        <v>135.52000000000001</v>
      </c>
      <c r="T28" s="167">
        <v>84.52</v>
      </c>
      <c r="U28" s="159">
        <v>0.32890000000000003</v>
      </c>
      <c r="V28" s="158">
        <v>79.599999999999994</v>
      </c>
      <c r="W28" s="159">
        <v>0.18640000000000001</v>
      </c>
      <c r="X28" s="155">
        <v>0.65</v>
      </c>
    </row>
    <row r="29" spans="1:24" hidden="1" x14ac:dyDescent="0.25">
      <c r="G29" s="166">
        <f>+AVERAGE(G2:G28)</f>
        <v>17.392199999999999</v>
      </c>
      <c r="H29" s="166"/>
      <c r="N29" s="169">
        <v>287245.77</v>
      </c>
      <c r="O29" s="181">
        <f>SUM(O2:O28)</f>
        <v>291171.06359999999</v>
      </c>
    </row>
    <row r="30" spans="1:24" hidden="1" x14ac:dyDescent="0.25">
      <c r="N30" s="169">
        <f>+N28</f>
        <v>228</v>
      </c>
      <c r="O30" s="169"/>
    </row>
    <row r="31" spans="1:24" hidden="1" x14ac:dyDescent="0.25">
      <c r="N31" s="170" t="e">
        <f>+N29+N30*#REF!</f>
        <v>#REF!</v>
      </c>
      <c r="O31" s="170"/>
    </row>
    <row r="33" spans="10:10" x14ac:dyDescent="0.25">
      <c r="J33" s="154">
        <f>SUBTOTAL(9,J2:J32)</f>
        <v>1471.5</v>
      </c>
    </row>
  </sheetData>
  <autoFilter ref="A1:X31" xr:uid="{8F4EBE57-6C17-4D87-B36A-3DB604C88F7B}">
    <filterColumn colId="2">
      <filters>
        <filter val="WOODCRAFTERS HOME PRODUC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2026 </vt:lpstr>
      <vt:lpstr>VENTAS POR ASESOR</vt:lpstr>
      <vt:lpstr>ENERO </vt:lpstr>
      <vt:lpstr>FEBRERO</vt:lpstr>
      <vt:lpstr>MARZO</vt:lpstr>
      <vt:lpstr>ABRIL</vt:lpstr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Palomino</dc:creator>
  <cp:lastModifiedBy>Zaira Palomino</cp:lastModifiedBy>
  <dcterms:created xsi:type="dcterms:W3CDTF">2026-02-12T17:39:54Z</dcterms:created>
  <dcterms:modified xsi:type="dcterms:W3CDTF">2026-06-12T22:57:22Z</dcterms:modified>
</cp:coreProperties>
</file>